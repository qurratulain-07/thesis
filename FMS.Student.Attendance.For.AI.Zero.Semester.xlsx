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updateLinks="never"/>
  <mc:AlternateContent xmlns:mc="http://schemas.openxmlformats.org/markup-compatibility/2006">
    <mc:Choice Requires="x15">
      <x15ac:absPath xmlns:x15ac="http://schemas.microsoft.com/office/spreadsheetml/2010/11/ac" url="D:\Academics\AI Zero Semester\"/>
    </mc:Choice>
  </mc:AlternateContent>
  <xr:revisionPtr revIDLastSave="0" documentId="13_ncr:1_{F4529FF5-EF66-48C0-AD0E-5BE6762899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TTENDANCE" sheetId="2" r:id="rId1"/>
  </sheets>
  <definedNames>
    <definedName name="_xlnm.Print_Area" localSheetId="0">ATTENDANCE!$A$1:$AU$71</definedName>
  </definedNames>
  <calcPr calcId="191029"/>
</workbook>
</file>

<file path=xl/calcChain.xml><?xml version="1.0" encoding="utf-8"?>
<calcChain xmlns="http://schemas.openxmlformats.org/spreadsheetml/2006/main">
  <c r="K71" i="2" l="1"/>
  <c r="L71" i="2"/>
  <c r="M71" i="2"/>
  <c r="N71" i="2"/>
  <c r="O71" i="2"/>
  <c r="P71" i="2"/>
  <c r="Q71" i="2"/>
  <c r="R71" i="2"/>
  <c r="S71" i="2"/>
  <c r="T71" i="2"/>
  <c r="K70" i="2"/>
  <c r="L70" i="2"/>
  <c r="M70" i="2"/>
  <c r="N70" i="2"/>
  <c r="O70" i="2"/>
  <c r="P70" i="2"/>
  <c r="Q70" i="2"/>
  <c r="R70" i="2"/>
  <c r="S70" i="2"/>
  <c r="T70" i="2"/>
  <c r="F71" i="2"/>
  <c r="G71" i="2"/>
  <c r="H71" i="2"/>
  <c r="I71" i="2"/>
  <c r="J71" i="2"/>
  <c r="E71" i="2"/>
  <c r="F70" i="2"/>
  <c r="G70" i="2"/>
  <c r="H70" i="2"/>
  <c r="I70" i="2"/>
  <c r="J70" i="2"/>
  <c r="E70" i="2"/>
  <c r="AK6" i="2"/>
  <c r="AK14" i="2"/>
  <c r="AL14" i="2"/>
  <c r="AK15" i="2"/>
  <c r="AL15" i="2"/>
  <c r="AK16" i="2"/>
  <c r="AL16" i="2"/>
  <c r="AK17" i="2"/>
  <c r="AL17" i="2"/>
  <c r="AK18" i="2"/>
  <c r="AL18" i="2"/>
  <c r="AM18" i="2" s="1"/>
  <c r="AK19" i="2"/>
  <c r="AL19" i="2"/>
  <c r="AK20" i="2"/>
  <c r="AL20" i="2"/>
  <c r="AM20" i="2" s="1"/>
  <c r="AK21" i="2"/>
  <c r="AL21" i="2"/>
  <c r="AK22" i="2"/>
  <c r="AL22" i="2"/>
  <c r="AM22" i="2" s="1"/>
  <c r="AK23" i="2"/>
  <c r="AL23" i="2"/>
  <c r="AK24" i="2"/>
  <c r="AL24" i="2"/>
  <c r="AM24" i="2" s="1"/>
  <c r="AK25" i="2"/>
  <c r="AL25" i="2"/>
  <c r="AK26" i="2"/>
  <c r="AL26" i="2"/>
  <c r="AK27" i="2"/>
  <c r="AL27" i="2"/>
  <c r="AK28" i="2"/>
  <c r="AL28" i="2"/>
  <c r="AK29" i="2"/>
  <c r="AL29" i="2"/>
  <c r="AK30" i="2"/>
  <c r="AL30" i="2"/>
  <c r="AK31" i="2"/>
  <c r="AL31" i="2"/>
  <c r="AK32" i="2"/>
  <c r="AL32" i="2"/>
  <c r="AK33" i="2"/>
  <c r="AL33" i="2"/>
  <c r="AK34" i="2"/>
  <c r="AL34" i="2"/>
  <c r="AK35" i="2"/>
  <c r="AL35" i="2"/>
  <c r="AK36" i="2"/>
  <c r="AL36" i="2"/>
  <c r="AK37" i="2"/>
  <c r="AL37" i="2"/>
  <c r="AK38" i="2"/>
  <c r="AL38" i="2"/>
  <c r="AK39" i="2"/>
  <c r="AL39" i="2"/>
  <c r="AK40" i="2"/>
  <c r="AL40" i="2"/>
  <c r="AK41" i="2"/>
  <c r="AL41" i="2"/>
  <c r="AK42" i="2"/>
  <c r="AL42" i="2"/>
  <c r="AK43" i="2"/>
  <c r="AL43" i="2"/>
  <c r="AK44" i="2"/>
  <c r="AL44" i="2"/>
  <c r="AK45" i="2"/>
  <c r="AL45" i="2"/>
  <c r="AK46" i="2"/>
  <c r="AL46" i="2"/>
  <c r="AK47" i="2"/>
  <c r="AL47" i="2"/>
  <c r="AK48" i="2"/>
  <c r="AL48" i="2"/>
  <c r="AK49" i="2"/>
  <c r="AL49" i="2"/>
  <c r="AK50" i="2"/>
  <c r="AL50" i="2"/>
  <c r="AK51" i="2"/>
  <c r="AL51" i="2"/>
  <c r="AK52" i="2"/>
  <c r="AL52" i="2"/>
  <c r="AK53" i="2"/>
  <c r="AL53" i="2"/>
  <c r="AK54" i="2"/>
  <c r="AL54" i="2"/>
  <c r="AK55" i="2"/>
  <c r="AM55" i="2" s="1"/>
  <c r="AL55" i="2"/>
  <c r="AK56" i="2"/>
  <c r="AL56" i="2"/>
  <c r="AK57" i="2"/>
  <c r="AL57" i="2"/>
  <c r="AK58" i="2"/>
  <c r="AL58" i="2"/>
  <c r="AK59" i="2"/>
  <c r="AL59" i="2"/>
  <c r="AK60" i="2"/>
  <c r="AL60" i="2"/>
  <c r="AK61" i="2"/>
  <c r="AL61" i="2"/>
  <c r="AK62" i="2"/>
  <c r="AL62" i="2"/>
  <c r="AM62" i="2" s="1"/>
  <c r="AK63" i="2"/>
  <c r="AL63" i="2"/>
  <c r="AK64" i="2"/>
  <c r="AL64" i="2"/>
  <c r="AK65" i="2"/>
  <c r="AL65" i="2"/>
  <c r="AK66" i="2"/>
  <c r="AL66" i="2"/>
  <c r="AK67" i="2"/>
  <c r="AM67" i="2" s="1"/>
  <c r="AL67" i="2"/>
  <c r="AK68" i="2"/>
  <c r="AL68" i="2"/>
  <c r="AK69" i="2"/>
  <c r="AM69" i="2" s="1"/>
  <c r="AL69" i="2"/>
  <c r="AM60" i="2" l="1"/>
  <c r="AM65" i="2"/>
  <c r="AM61" i="2"/>
  <c r="AM49" i="2"/>
  <c r="AM45" i="2"/>
  <c r="AM57" i="2"/>
  <c r="AM53" i="2"/>
  <c r="AM40" i="2"/>
  <c r="AM36" i="2"/>
  <c r="AM43" i="2"/>
  <c r="AM35" i="2"/>
  <c r="AM51" i="2"/>
  <c r="AM54" i="2"/>
  <c r="AM50" i="2"/>
  <c r="AM58" i="2"/>
  <c r="AM47" i="2"/>
  <c r="AM46" i="2"/>
  <c r="AM42" i="2"/>
  <c r="AM38" i="2"/>
  <c r="AM37" i="2"/>
  <c r="AM34" i="2"/>
  <c r="AM32" i="2"/>
  <c r="AM31" i="2"/>
  <c r="AM30" i="2"/>
  <c r="AM28" i="2"/>
  <c r="AM26" i="2"/>
  <c r="AM27" i="2"/>
  <c r="AM23" i="2"/>
  <c r="AM21" i="2"/>
  <c r="AM17" i="2"/>
  <c r="AM16" i="2"/>
  <c r="AM19" i="2"/>
  <c r="AM66" i="2"/>
  <c r="AM33" i="2"/>
  <c r="AM63" i="2"/>
  <c r="AM59" i="2"/>
  <c r="AM39" i="2"/>
  <c r="AM56" i="2"/>
  <c r="AM64" i="2"/>
  <c r="AM52" i="2"/>
  <c r="AM41" i="2"/>
  <c r="AM25" i="2"/>
  <c r="AM68" i="2"/>
  <c r="AM48" i="2"/>
  <c r="AM29" i="2"/>
  <c r="AM44" i="2"/>
  <c r="AM15" i="2"/>
  <c r="AK13" i="2" l="1"/>
  <c r="AL13" i="2"/>
  <c r="AM13" i="2" l="1"/>
  <c r="AL6" i="2" l="1"/>
  <c r="AL12" i="2" l="1"/>
  <c r="AK12" i="2"/>
  <c r="AL11" i="2"/>
  <c r="AK11" i="2"/>
  <c r="AL10" i="2"/>
  <c r="AK10" i="2"/>
  <c r="AL9" i="2"/>
  <c r="AK9" i="2"/>
  <c r="AL8" i="2"/>
  <c r="AK8" i="2"/>
  <c r="AL7" i="2"/>
  <c r="AK7" i="2"/>
  <c r="AM11" i="2" l="1"/>
  <c r="AM10" i="2"/>
  <c r="AM9" i="2"/>
  <c r="AM8" i="2"/>
  <c r="AM6" i="2"/>
  <c r="AM12" i="2"/>
  <c r="AM7" i="2"/>
</calcChain>
</file>

<file path=xl/sharedStrings.xml><?xml version="1.0" encoding="utf-8"?>
<sst xmlns="http://schemas.openxmlformats.org/spreadsheetml/2006/main" count="660" uniqueCount="153">
  <si>
    <t>UNIVERSITY OF SOUTH ASIA</t>
  </si>
  <si>
    <t>Sr. No</t>
  </si>
  <si>
    <t>SEMESTER</t>
  </si>
  <si>
    <t>Roll #</t>
  </si>
  <si>
    <t>Present</t>
  </si>
  <si>
    <t>Absent</t>
  </si>
  <si>
    <t>Percentage</t>
  </si>
  <si>
    <t>DR. IRUM YASMEEN</t>
  </si>
  <si>
    <t>P</t>
  </si>
  <si>
    <t>A</t>
  </si>
  <si>
    <t xml:space="preserve">                          </t>
  </si>
  <si>
    <t>ABDUL WAHAB</t>
  </si>
  <si>
    <t xml:space="preserve">1st &amp; 2nd Semester </t>
  </si>
  <si>
    <t>b-30619</t>
  </si>
  <si>
    <t>b-30620</t>
  </si>
  <si>
    <t>HASSAN REHMAN</t>
  </si>
  <si>
    <t>MUHAMMAD ANAS</t>
  </si>
  <si>
    <t>AHSAN NAWAZ</t>
  </si>
  <si>
    <t>WALEED REHMAN</t>
  </si>
  <si>
    <t>MUHAMMAD SHAHZAIB</t>
  </si>
  <si>
    <t>b-30752</t>
  </si>
  <si>
    <t>b-30762</t>
  </si>
  <si>
    <t>b-30541</t>
  </si>
  <si>
    <t>b-30759</t>
  </si>
  <si>
    <t>MUHAMMAD AHMAD AFTAB</t>
  </si>
  <si>
    <t>A-00198</t>
  </si>
  <si>
    <t>QANDEEL IKRAM</t>
  </si>
  <si>
    <t>AMEER HAMZA</t>
  </si>
  <si>
    <t>B-30761</t>
  </si>
  <si>
    <t>B-30801</t>
  </si>
  <si>
    <t>A-00189</t>
  </si>
  <si>
    <t>Mustafa Kamal</t>
  </si>
  <si>
    <t>A-29727</t>
  </si>
  <si>
    <t>Malik Abdul Rehman</t>
  </si>
  <si>
    <t>B-29678</t>
  </si>
  <si>
    <t>Noman Ashraf</t>
  </si>
  <si>
    <t>B-29681</t>
  </si>
  <si>
    <t>Muhammad Ahmad</t>
  </si>
  <si>
    <t>B-29690</t>
  </si>
  <si>
    <t>Mohsin Hanif</t>
  </si>
  <si>
    <t>B-29725</t>
  </si>
  <si>
    <t>Abdullah Imran</t>
  </si>
  <si>
    <t>B-29726</t>
  </si>
  <si>
    <t>Fatima Fareed</t>
  </si>
  <si>
    <t>B-29732</t>
  </si>
  <si>
    <t>Sahal Shakeel</t>
  </si>
  <si>
    <t>B-29743</t>
  </si>
  <si>
    <t>Fatima</t>
  </si>
  <si>
    <t>B-29750</t>
  </si>
  <si>
    <t>Muhammad Ahsan</t>
  </si>
  <si>
    <t>B-28421</t>
  </si>
  <si>
    <t>Waleed Ahmad Qureshi</t>
  </si>
  <si>
    <t>B-28963</t>
  </si>
  <si>
    <t>Muhammad Mohtashim</t>
  </si>
  <si>
    <t>B-28972</t>
  </si>
  <si>
    <t>Muhammad Daim Chishti</t>
  </si>
  <si>
    <t>B-29016</t>
  </si>
  <si>
    <t>Eisha Javed</t>
  </si>
  <si>
    <t>B-29025</t>
  </si>
  <si>
    <t>Abdullah Bin Masood</t>
  </si>
  <si>
    <t>A-00212</t>
  </si>
  <si>
    <t>Rehmah sufyan</t>
  </si>
  <si>
    <t>B-29201</t>
  </si>
  <si>
    <t>Iqra Zafar</t>
  </si>
  <si>
    <t>b-27371</t>
  </si>
  <si>
    <t>AHSAN JAVED</t>
  </si>
  <si>
    <t>b-27482</t>
  </si>
  <si>
    <t>MALIK ALI SHER</t>
  </si>
  <si>
    <t>b-27574</t>
  </si>
  <si>
    <t>MUHAMMAD ATEEB HASSAN</t>
  </si>
  <si>
    <t>b-27674</t>
  </si>
  <si>
    <t>Huzaifa khalid</t>
  </si>
  <si>
    <t>b-27675</t>
  </si>
  <si>
    <t>Hur Hassan</t>
  </si>
  <si>
    <t>b-27653</t>
  </si>
  <si>
    <t>Areeba Asif</t>
  </si>
  <si>
    <t>AHSAN ALI</t>
  </si>
  <si>
    <t>b-28159</t>
  </si>
  <si>
    <t>Syed Jawad Haider</t>
  </si>
  <si>
    <t>b-28187</t>
  </si>
  <si>
    <t>Zain Asghar Awan</t>
  </si>
  <si>
    <t>b-30798</t>
  </si>
  <si>
    <t>Hiba Arif</t>
  </si>
  <si>
    <t>b-30787</t>
  </si>
  <si>
    <t>MUHAMMAD SAAD SHEIKH</t>
  </si>
  <si>
    <t xml:space="preserve"> b-26994</t>
  </si>
  <si>
    <t>Moiez ahmad</t>
  </si>
  <si>
    <t xml:space="preserve">B-26968 </t>
  </si>
  <si>
    <t>Muhammad Faisal</t>
  </si>
  <si>
    <t xml:space="preserve"> b-26898</t>
  </si>
  <si>
    <t>M.mehmood</t>
  </si>
  <si>
    <t>b-26823</t>
  </si>
  <si>
    <t>Fizza tahir</t>
  </si>
  <si>
    <t>Faizan shafique</t>
  </si>
  <si>
    <t xml:space="preserve"> b-27005</t>
  </si>
  <si>
    <t>Momin shabbir</t>
  </si>
  <si>
    <t>8th Semester</t>
  </si>
  <si>
    <t xml:space="preserve">6th &amp; 7th semester </t>
  </si>
  <si>
    <t xml:space="preserve"> 4th &amp; 5th Semester </t>
  </si>
  <si>
    <t>Column1</t>
  </si>
  <si>
    <t>Column2</t>
  </si>
  <si>
    <t xml:space="preserve">BID1st and 2nd </t>
  </si>
  <si>
    <t>A-00211</t>
  </si>
  <si>
    <t>Laiba Kashif</t>
  </si>
  <si>
    <t>B-30453</t>
  </si>
  <si>
    <t>Mishal Tahir</t>
  </si>
  <si>
    <t>B-30469</t>
  </si>
  <si>
    <t>Iqra Asghar</t>
  </si>
  <si>
    <t>B-30537</t>
  </si>
  <si>
    <t>Rabia Amjad</t>
  </si>
  <si>
    <t>B-30548</t>
  </si>
  <si>
    <t>Sabeen Kousar</t>
  </si>
  <si>
    <t>B-30550</t>
  </si>
  <si>
    <t>Ahmed Mansoor Subhani</t>
  </si>
  <si>
    <t>B-30763</t>
  </si>
  <si>
    <t>Irsa Waqif</t>
  </si>
  <si>
    <t>B-30795</t>
  </si>
  <si>
    <t>Sana Ashraf</t>
  </si>
  <si>
    <t>B-30754</t>
  </si>
  <si>
    <t>Maryam Athar</t>
  </si>
  <si>
    <t>Rabia Tariq</t>
  </si>
  <si>
    <t>Ali Hamza</t>
  </si>
  <si>
    <t>Mahnoor</t>
  </si>
  <si>
    <t>Laiba</t>
  </si>
  <si>
    <t>Meerab</t>
  </si>
  <si>
    <t xml:space="preserve">BID5th and 7th </t>
  </si>
  <si>
    <t>B-27145</t>
  </si>
  <si>
    <t>B-28921</t>
  </si>
  <si>
    <t>B-28932</t>
  </si>
  <si>
    <t>B-29682</t>
  </si>
  <si>
    <t>NASHRA</t>
  </si>
  <si>
    <t>B-29205</t>
  </si>
  <si>
    <t>B-29081</t>
  </si>
  <si>
    <t>B-30782</t>
  </si>
  <si>
    <t>UMM E ABIHA</t>
  </si>
  <si>
    <t>B-28923</t>
  </si>
  <si>
    <t>B-28906</t>
  </si>
  <si>
    <t>MISBAH RAMZAN</t>
  </si>
  <si>
    <t>B-27362</t>
  </si>
  <si>
    <t>MINAHIL MUNIR</t>
  </si>
  <si>
    <t>B-27651</t>
  </si>
  <si>
    <t>ALI AZHAR</t>
  </si>
  <si>
    <t>B-27360</t>
  </si>
  <si>
    <t>OWAIS ASAD</t>
  </si>
  <si>
    <t>AI GRAPHICS (12:00-2:00)</t>
  </si>
  <si>
    <t>7</t>
  </si>
  <si>
    <t>1</t>
  </si>
  <si>
    <t>2</t>
  </si>
  <si>
    <t>3</t>
  </si>
  <si>
    <t>4</t>
  </si>
  <si>
    <t>5</t>
  </si>
  <si>
    <t>6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</si>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</sst>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&quot;/&quot;d"/>
    <numFmt numFmtId="165" formatCode="ddd"/>
  </numFmts>
  <fonts count="27">
    <font>
      <sz val="11"/>
      <color theme="1"/>
      <name val="Calibri"/>
      <charset val="134"/>
      <scheme val="minor"/>
    </font>
    <font>
      <sz val="10"/>
      <color rgb="FF000000"/>
      <name val="Arial"/>
      <family val="2"/>
    </font>
    <font>
      <sz val="12"/>
      <color theme="0"/>
      <name val="Arial"/>
      <family val="2"/>
    </font>
    <font>
      <b/>
      <sz val="10"/>
      <color rgb="FF303F9F"/>
      <name val="Arial"/>
      <family val="2"/>
    </font>
    <font>
      <b/>
      <sz val="10"/>
      <color rgb="FF6772AD"/>
      <name val="Arial"/>
      <family val="2"/>
    </font>
    <font>
      <sz val="12"/>
      <color theme="1"/>
      <name val="Arial"/>
      <family val="2"/>
    </font>
    <font>
      <sz val="13"/>
      <color theme="1"/>
      <name val="Arial"/>
      <family val="2"/>
    </font>
    <font>
      <sz val="11"/>
      <color rgb="FF000000"/>
      <name val="Arial"/>
      <family val="2"/>
    </font>
    <font>
      <sz val="23"/>
      <color theme="1"/>
      <name val="Arial"/>
      <family val="2"/>
    </font>
    <font>
      <b/>
      <i/>
      <sz val="12"/>
      <name val="Arial"/>
      <family val="2"/>
    </font>
    <font>
      <b/>
      <sz val="10"/>
      <color theme="8" tint="-0.249977111117893"/>
      <name val="Arial"/>
      <family val="2"/>
    </font>
    <font>
      <sz val="10"/>
      <color rgb="FF6772AD"/>
      <name val="Arial"/>
      <family val="2"/>
    </font>
    <font>
      <b/>
      <sz val="10"/>
      <color rgb="FF000000"/>
      <name val="Arial"/>
      <family val="2"/>
    </font>
    <font>
      <b/>
      <sz val="9"/>
      <color rgb="FF303F9F"/>
      <name val="Arial"/>
      <family val="2"/>
    </font>
    <font>
      <b/>
      <sz val="11"/>
      <color rgb="FF303F9F"/>
      <name val="Arial"/>
      <family val="2"/>
    </font>
    <font>
      <i/>
      <sz val="10"/>
      <color rgb="FF6772AD"/>
      <name val="Arial"/>
      <family val="2"/>
    </font>
    <font>
      <i/>
      <sz val="11"/>
      <color rgb="FF6772AD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10"/>
      <color theme="1"/>
      <name val="Segoe UI"/>
      <family val="2"/>
    </font>
    <font>
      <sz val="9"/>
      <color rgb="FF000000"/>
      <name val="Calibri"/>
      <family val="2"/>
      <scheme val="minor"/>
    </font>
    <font>
      <sz val="13"/>
      <color rgb="FF000000"/>
      <name val="Arial"/>
      <family val="2"/>
    </font>
    <font>
      <sz val="9"/>
      <color rgb="FF000000"/>
      <name val="Segoe UI"/>
      <family val="2"/>
    </font>
    <font>
      <sz val="10"/>
      <color rgb="FF000000"/>
      <name val="Segoe UI"/>
      <family val="2"/>
    </font>
    <font>
      <sz val="8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EAEBEC"/>
        <bgColor indexed="64"/>
      </patternFill>
    </fill>
    <fill>
      <patternFill patternType="solid">
        <fgColor rgb="FFEFEFE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E8EAF6"/>
      </left>
      <right style="thin">
        <color rgb="FFE8EAF6"/>
      </right>
      <top/>
      <bottom/>
      <diagonal/>
    </border>
    <border>
      <left style="thin">
        <color rgb="FFE8EAF6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9" fillId="0" borderId="0"/>
  </cellStyleXfs>
  <cellXfs count="96">
    <xf numFmtId="0" fontId="0" fillId="0" borderId="0" xfId="0"/>
    <xf numFmtId="0" fontId="1" fillId="0" borderId="0" xfId="2" applyAlignment="1">
      <alignment horizontal="center" vertical="center"/>
    </xf>
    <xf numFmtId="0" fontId="1" fillId="0" borderId="0" xfId="2"/>
    <xf numFmtId="0" fontId="2" fillId="0" borderId="0" xfId="2" applyFont="1" applyAlignment="1">
      <alignment vertical="center"/>
    </xf>
    <xf numFmtId="164" fontId="3" fillId="0" borderId="1" xfId="2" applyNumberFormat="1" applyFont="1" applyBorder="1" applyAlignment="1">
      <alignment horizontal="left" wrapText="1"/>
    </xf>
    <xf numFmtId="0" fontId="4" fillId="0" borderId="1" xfId="2" applyFont="1" applyBorder="1" applyAlignment="1">
      <alignment horizontal="left" vertical="top" wrapText="1"/>
    </xf>
    <xf numFmtId="0" fontId="5" fillId="0" borderId="3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0" xfId="2" applyFont="1"/>
    <xf numFmtId="0" fontId="10" fillId="0" borderId="4" xfId="2" applyFont="1" applyBorder="1" applyAlignment="1">
      <alignment horizontal="center"/>
    </xf>
    <xf numFmtId="165" fontId="11" fillId="0" borderId="5" xfId="2" applyNumberFormat="1" applyFont="1" applyBorder="1" applyAlignment="1">
      <alignment horizontal="center"/>
    </xf>
    <xf numFmtId="0" fontId="1" fillId="0" borderId="3" xfId="2" applyBorder="1" applyAlignment="1">
      <alignment horizontal="center" vertical="center"/>
    </xf>
    <xf numFmtId="165" fontId="11" fillId="0" borderId="0" xfId="2" applyNumberFormat="1" applyFont="1" applyAlignment="1">
      <alignment horizontal="center"/>
    </xf>
    <xf numFmtId="0" fontId="13" fillId="0" borderId="6" xfId="2" applyFont="1" applyBorder="1" applyAlignment="1">
      <alignment horizontal="center" wrapText="1"/>
    </xf>
    <xf numFmtId="0" fontId="14" fillId="0" borderId="7" xfId="2" applyFont="1" applyBorder="1" applyAlignment="1">
      <alignment horizontal="center" wrapText="1"/>
    </xf>
    <xf numFmtId="0" fontId="13" fillId="0" borderId="7" xfId="2" applyFont="1" applyBorder="1" applyAlignment="1">
      <alignment horizontal="center" vertical="center" wrapText="1"/>
    </xf>
    <xf numFmtId="0" fontId="15" fillId="0" borderId="6" xfId="2" applyFont="1" applyBorder="1" applyAlignment="1">
      <alignment horizontal="center" vertical="top" wrapText="1"/>
    </xf>
    <xf numFmtId="0" fontId="16" fillId="0" borderId="7" xfId="2" applyFont="1" applyBorder="1" applyAlignment="1">
      <alignment horizontal="center" vertical="top" wrapText="1"/>
    </xf>
    <xf numFmtId="0" fontId="17" fillId="0" borderId="3" xfId="2" applyFont="1" applyBorder="1" applyAlignment="1">
      <alignment horizontal="center" vertical="center"/>
    </xf>
    <xf numFmtId="2" fontId="18" fillId="0" borderId="8" xfId="2" applyNumberFormat="1" applyFont="1" applyBorder="1" applyAlignment="1">
      <alignment horizontal="center" vertical="center"/>
    </xf>
    <xf numFmtId="0" fontId="20" fillId="2" borderId="0" xfId="0" applyFont="1" applyFill="1" applyAlignment="1">
      <alignment horizontal="left" vertical="center" wrapText="1"/>
    </xf>
    <xf numFmtId="0" fontId="20" fillId="3" borderId="0" xfId="0" applyFont="1" applyFill="1" applyAlignment="1">
      <alignment horizontal="left" vertical="center" wrapText="1"/>
    </xf>
    <xf numFmtId="0" fontId="20" fillId="2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left" vertical="center" wrapText="1"/>
    </xf>
    <xf numFmtId="0" fontId="17" fillId="0" borderId="3" xfId="0" applyFont="1" applyBorder="1" applyAlignment="1">
      <alignment vertical="top" wrapText="1"/>
    </xf>
    <xf numFmtId="0" fontId="22" fillId="4" borderId="12" xfId="0" applyFont="1" applyFill="1" applyBorder="1" applyAlignment="1">
      <alignment horizontal="left" vertical="center" wrapText="1" indent="1"/>
    </xf>
    <xf numFmtId="0" fontId="17" fillId="0" borderId="13" xfId="0" applyFont="1" applyBorder="1" applyAlignment="1">
      <alignment vertical="top" wrapText="1"/>
    </xf>
    <xf numFmtId="0" fontId="17" fillId="0" borderId="14" xfId="0" applyFont="1" applyBorder="1" applyAlignment="1">
      <alignment vertical="top" wrapText="1"/>
    </xf>
    <xf numFmtId="0" fontId="17" fillId="0" borderId="15" xfId="0" applyFont="1" applyBorder="1" applyAlignment="1">
      <alignment vertical="top" wrapText="1"/>
    </xf>
    <xf numFmtId="0" fontId="1" fillId="0" borderId="0" xfId="2" applyAlignment="1">
      <alignment vertical="top"/>
    </xf>
    <xf numFmtId="0" fontId="1" fillId="0" borderId="16" xfId="2" applyBorder="1" applyAlignment="1">
      <alignment vertical="top"/>
    </xf>
    <xf numFmtId="0" fontId="24" fillId="5" borderId="0" xfId="0" applyFont="1" applyFill="1" applyAlignment="1">
      <alignment horizontal="center" vertical="center" wrapText="1"/>
    </xf>
    <xf numFmtId="0" fontId="24" fillId="5" borderId="0" xfId="0" applyFont="1" applyFill="1" applyAlignment="1">
      <alignment horizontal="left" vertical="center" wrapText="1"/>
    </xf>
    <xf numFmtId="0" fontId="24" fillId="6" borderId="0" xfId="0" applyFont="1" applyFill="1" applyAlignment="1">
      <alignment horizontal="center" vertical="center" wrapText="1"/>
    </xf>
    <xf numFmtId="0" fontId="24" fillId="6" borderId="0" xfId="0" applyFont="1" applyFill="1" applyAlignment="1">
      <alignment horizontal="left" vertical="center" wrapText="1"/>
    </xf>
    <xf numFmtId="0" fontId="25" fillId="5" borderId="0" xfId="0" applyFont="1" applyFill="1" applyAlignment="1">
      <alignment horizontal="left" vertical="center" wrapText="1"/>
    </xf>
    <xf numFmtId="0" fontId="1" fillId="0" borderId="18" xfId="0" applyFont="1" applyBorder="1"/>
    <xf numFmtId="0" fontId="1" fillId="0" borderId="17" xfId="0" applyFont="1" applyBorder="1"/>
    <xf numFmtId="0" fontId="1" fillId="0" borderId="18" xfId="2" applyBorder="1" applyAlignment="1">
      <alignment horizontal="center" vertical="center"/>
    </xf>
    <xf numFmtId="0" fontId="1" fillId="0" borderId="20" xfId="2" applyBorder="1" applyAlignment="1">
      <alignment horizontal="center" vertical="center"/>
    </xf>
    <xf numFmtId="0" fontId="6" fillId="0" borderId="0" xfId="2" applyFont="1" applyAlignment="1">
      <alignment horizontal="center" vertical="center" textRotation="90"/>
    </xf>
    <xf numFmtId="0" fontId="17" fillId="7" borderId="3" xfId="0" applyFont="1" applyFill="1" applyBorder="1" applyAlignment="1">
      <alignment vertical="top" wrapText="1"/>
    </xf>
    <xf numFmtId="0" fontId="5" fillId="0" borderId="25" xfId="2" applyFont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 wrapText="1"/>
    </xf>
    <xf numFmtId="0" fontId="1" fillId="0" borderId="3" xfId="2" applyBorder="1"/>
    <xf numFmtId="0" fontId="20" fillId="2" borderId="3" xfId="0" applyFont="1" applyFill="1" applyBorder="1" applyAlignment="1">
      <alignment horizontal="left" vertical="center" wrapText="1"/>
    </xf>
    <xf numFmtId="0" fontId="20" fillId="3" borderId="21" xfId="0" applyFont="1" applyFill="1" applyBorder="1" applyAlignment="1">
      <alignment horizontal="center" vertical="center" wrapText="1"/>
    </xf>
    <xf numFmtId="0" fontId="1" fillId="0" borderId="21" xfId="2" applyBorder="1" applyAlignment="1">
      <alignment horizontal="left"/>
    </xf>
    <xf numFmtId="0" fontId="20" fillId="0" borderId="3" xfId="0" applyFont="1" applyBorder="1" applyAlignment="1">
      <alignment horizontal="left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left" vertical="center" wrapText="1"/>
    </xf>
    <xf numFmtId="0" fontId="22" fillId="0" borderId="3" xfId="0" applyFont="1" applyBorder="1" applyAlignment="1">
      <alignment horizontal="center"/>
    </xf>
    <xf numFmtId="0" fontId="22" fillId="0" borderId="3" xfId="0" applyFont="1" applyBorder="1" applyAlignment="1">
      <alignment horizontal="left"/>
    </xf>
    <xf numFmtId="0" fontId="22" fillId="4" borderId="3" xfId="0" applyFont="1" applyFill="1" applyBorder="1" applyAlignment="1">
      <alignment horizontal="left" vertical="center" wrapText="1"/>
    </xf>
    <xf numFmtId="0" fontId="1" fillId="0" borderId="25" xfId="2" applyBorder="1"/>
    <xf numFmtId="0" fontId="1" fillId="0" borderId="3" xfId="2" applyBorder="1" applyAlignment="1">
      <alignment vertical="center"/>
    </xf>
    <xf numFmtId="0" fontId="1" fillId="8" borderId="0" xfId="2" applyFill="1"/>
    <xf numFmtId="0" fontId="1" fillId="8" borderId="3" xfId="2" applyFill="1" applyBorder="1"/>
    <xf numFmtId="0" fontId="1" fillId="9" borderId="0" xfId="2" applyFill="1"/>
    <xf numFmtId="0" fontId="1" fillId="9" borderId="0" xfId="2" applyFill="1" applyAlignment="1">
      <alignment horizontal="center" vertical="center"/>
    </xf>
    <xf numFmtId="0" fontId="1" fillId="8" borderId="0" xfId="2" applyFill="1" applyAlignment="1">
      <alignment horizontal="center" vertical="center"/>
    </xf>
    <xf numFmtId="0" fontId="1" fillId="8" borderId="25" xfId="2" applyFill="1" applyBorder="1"/>
    <xf numFmtId="0" fontId="17" fillId="0" borderId="8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/>
    </xf>
    <xf numFmtId="0" fontId="1" fillId="9" borderId="3" xfId="2" applyFill="1" applyBorder="1"/>
    <xf numFmtId="0" fontId="1" fillId="0" borderId="18" xfId="2" applyBorder="1" applyAlignment="1">
      <alignment horizontal="center"/>
    </xf>
    <xf numFmtId="0" fontId="1" fillId="0" borderId="17" xfId="2" applyBorder="1" applyAlignment="1">
      <alignment horizontal="center"/>
    </xf>
    <xf numFmtId="0" fontId="1" fillId="0" borderId="3" xfId="2" applyBorder="1" applyAlignment="1">
      <alignment horizontal="center"/>
    </xf>
    <xf numFmtId="0" fontId="1" fillId="8" borderId="0" xfId="2" applyFill="1" applyAlignment="1">
      <alignment horizontal="center"/>
    </xf>
    <xf numFmtId="0" fontId="1" fillId="9" borderId="0" xfId="2" applyFill="1" applyAlignment="1">
      <alignment horizontal="center"/>
    </xf>
    <xf numFmtId="0" fontId="1" fillId="0" borderId="0" xfId="2" applyAlignment="1">
      <alignment horizontal="center"/>
    </xf>
    <xf numFmtId="0" fontId="1" fillId="0" borderId="26" xfId="2" applyBorder="1" applyAlignment="1">
      <alignment horizontal="center"/>
    </xf>
    <xf numFmtId="0" fontId="1" fillId="0" borderId="25" xfId="2" applyBorder="1" applyAlignment="1">
      <alignment horizontal="center"/>
    </xf>
    <xf numFmtId="0" fontId="1" fillId="0" borderId="21" xfId="2" applyBorder="1" applyAlignment="1">
      <alignment horizontal="center"/>
    </xf>
    <xf numFmtId="0" fontId="1" fillId="0" borderId="10" xfId="2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6" fillId="0" borderId="22" xfId="2" applyFont="1" applyBorder="1" applyAlignment="1">
      <alignment horizontal="center" vertical="center" textRotation="90"/>
    </xf>
    <xf numFmtId="0" fontId="6" fillId="0" borderId="23" xfId="2" applyFont="1" applyBorder="1" applyAlignment="1">
      <alignment horizontal="center" vertical="center" textRotation="90"/>
    </xf>
    <xf numFmtId="0" fontId="6" fillId="0" borderId="24" xfId="2" applyFont="1" applyBorder="1" applyAlignment="1">
      <alignment horizontal="center" vertical="center" textRotation="90"/>
    </xf>
    <xf numFmtId="164" fontId="3" fillId="0" borderId="0" xfId="2" applyNumberFormat="1" applyFont="1" applyAlignment="1">
      <alignment horizontal="center" vertical="center" wrapText="1"/>
    </xf>
    <xf numFmtId="164" fontId="3" fillId="0" borderId="2" xfId="2" applyNumberFormat="1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 textRotation="90"/>
    </xf>
    <xf numFmtId="0" fontId="6" fillId="0" borderId="11" xfId="2" applyFont="1" applyBorder="1" applyAlignment="1">
      <alignment horizontal="center" vertical="center" textRotation="90"/>
    </xf>
    <xf numFmtId="164" fontId="3" fillId="0" borderId="0" xfId="2" applyNumberFormat="1" applyFont="1" applyAlignment="1">
      <alignment horizontal="center" vertical="center"/>
    </xf>
    <xf numFmtId="0" fontId="6" fillId="0" borderId="19" xfId="2" applyFont="1" applyBorder="1" applyAlignment="1">
      <alignment horizontal="center" vertical="center" textRotation="90"/>
    </xf>
    <xf numFmtId="0" fontId="6" fillId="0" borderId="9" xfId="2" applyFont="1" applyBorder="1" applyAlignment="1">
      <alignment horizontal="center" vertical="center" textRotation="90"/>
    </xf>
    <xf numFmtId="0" fontId="23" fillId="0" borderId="11" xfId="2" applyFont="1" applyBorder="1" applyAlignment="1">
      <alignment horizontal="center" vertical="center" textRotation="90" wrapText="1"/>
    </xf>
    <xf numFmtId="0" fontId="23" fillId="0" borderId="19" xfId="2" applyFont="1" applyBorder="1" applyAlignment="1">
      <alignment horizontal="center" vertical="center" textRotation="90" wrapText="1"/>
    </xf>
    <xf numFmtId="0" fontId="23" fillId="0" borderId="3" xfId="2" applyFont="1" applyBorder="1" applyAlignment="1">
      <alignment horizontal="center" vertical="center" textRotation="90"/>
    </xf>
    <xf numFmtId="0" fontId="1" fillId="0" borderId="18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" fillId="0" borderId="18" xfId="2" applyFont="1" applyBorder="1" applyAlignment="1">
      <alignment horizontal="center"/>
    </xf>
    <xf numFmtId="0" fontId="1" fillId="0" borderId="17" xfId="2" applyFont="1" applyBorder="1" applyAlignment="1">
      <alignment horizontal="center"/>
    </xf>
  </cellXfs>
  <cellStyles count="6">
    <cellStyle name="Comma 3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4" xfId="4" xr:uid="{00000000-0005-0000-0000-000004000000}"/>
    <cellStyle name="Normal 5" xfId="5" xr:uid="{00000000-0005-0000-0000-000005000000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3BAC92-DA36-4ADC-B872-DDDB9980CE66}" name="Table1" displayName="Table1" ref="C6:L49" totalsRowShown="0" dataDxfId="11" tableBorderDxfId="10">
  <tableColumns count="10">
    <tableColumn id="1" xr3:uid="{B14F2C51-31B3-4768-AECB-B8AEA1592BA1}" name="Column2" dataDxfId="9"/>
    <tableColumn id="2" xr3:uid="{236B201E-8EB2-4717-8827-0158F9F42A6D}" name="Column1" dataDxfId="8"/>
    <tableColumn id="3" xr3:uid="{EE21AB1C-637C-41A3-AF72-61471A6901A9}" name="1" dataDxfId="7"/>
    <tableColumn id="4" xr3:uid="{DFE7E743-E9C5-4F80-98B6-D16581D833FB}" name="2" dataDxfId="6"/>
    <tableColumn id="5" xr3:uid="{38355FA7-63E2-4A88-9BF3-216D74014BE5}" name="3" dataDxfId="5"/>
    <tableColumn id="6" xr3:uid="{98526AE4-26DA-4DC0-BE8C-987517396FA5}" name="4" dataDxfId="4"/>
    <tableColumn id="7" xr3:uid="{25CD58CD-E1C5-401A-A081-A6E9B2868102}" name="5" dataDxfId="3"/>
    <tableColumn id="8" xr3:uid="{DE4B2914-E0A6-416F-9258-C1398F48FFDC}" name="6" dataDxfId="2"/>
    <tableColumn id="9" xr3:uid="{50072835-7AFF-4103-943F-4697877D56C8}" name="7" dataDxfId="1"/>
    <tableColumn id="10" xr3:uid="{41B7B9FB-A747-4F5A-8C6B-5565E58A0499}" name="8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N71"/>
  <sheetViews>
    <sheetView showGridLines="0" tabSelected="1" view="pageBreakPreview" zoomScale="85" zoomScaleNormal="85" zoomScaleSheetLayoutView="85" workbookViewId="0">
      <pane xSplit="4" ySplit="5" topLeftCell="E6" activePane="bottomRight" state="frozen"/>
      <selection pane="topRight"/>
      <selection pane="bottomLeft"/>
      <selection pane="bottomRight" activeCell="L7" sqref="L7"/>
    </sheetView>
  </sheetViews>
  <sheetFormatPr defaultColWidth="14.42578125" defaultRowHeight="15.75" customHeight="1"/>
  <cols>
    <col min="1" max="1" width="7.42578125" style="1" customWidth="1"/>
    <col min="2" max="2" width="14.140625" style="1" customWidth="1"/>
    <col min="3" max="3" width="11.7109375" style="2" customWidth="1"/>
    <col min="4" max="4" width="38" style="2" customWidth="1"/>
    <col min="5" max="5" width="9.42578125" style="2" bestFit="1" customWidth="1"/>
    <col min="6" max="6" width="6" style="2" customWidth="1"/>
    <col min="7" max="7" width="5.7109375" style="2" customWidth="1"/>
    <col min="8" max="9" width="5.5703125" style="2" customWidth="1"/>
    <col min="10" max="10" width="5.5703125" style="72" customWidth="1"/>
    <col min="11" max="36" width="5.5703125" style="2" customWidth="1"/>
    <col min="37" max="37" width="8.7109375" style="2" customWidth="1"/>
    <col min="38" max="38" width="8" style="2" customWidth="1"/>
    <col min="39" max="39" width="15" style="8" customWidth="1"/>
    <col min="40" max="40" width="14.42578125" style="1"/>
    <col min="41" max="16384" width="14.42578125" style="2"/>
  </cols>
  <sheetData>
    <row r="2" spans="1:40" ht="19.5" customHeight="1">
      <c r="D2" s="77" t="s">
        <v>0</v>
      </c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2"/>
    </row>
    <row r="3" spans="1:40" ht="19.5" customHeight="1">
      <c r="A3" s="3"/>
      <c r="B3" s="3"/>
      <c r="C3" s="3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</row>
    <row r="4" spans="1:40" ht="27.75" customHeight="1">
      <c r="A4" s="82" t="s">
        <v>1</v>
      </c>
      <c r="B4" s="82" t="s">
        <v>2</v>
      </c>
      <c r="C4" s="86" t="s">
        <v>3</v>
      </c>
      <c r="D4" s="4" t="s">
        <v>144</v>
      </c>
      <c r="E4" s="9">
        <v>1</v>
      </c>
      <c r="F4" s="9">
        <v>2</v>
      </c>
      <c r="G4" s="9">
        <v>3</v>
      </c>
      <c r="H4" s="9">
        <v>4</v>
      </c>
      <c r="I4" s="9">
        <v>5</v>
      </c>
      <c r="J4" s="9">
        <v>6</v>
      </c>
      <c r="K4" s="9">
        <v>7</v>
      </c>
      <c r="L4" s="9">
        <v>8</v>
      </c>
      <c r="M4" s="9">
        <v>9</v>
      </c>
      <c r="N4" s="9">
        <v>10</v>
      </c>
      <c r="O4" s="9">
        <v>11</v>
      </c>
      <c r="P4" s="9">
        <v>12</v>
      </c>
      <c r="Q4" s="9">
        <v>13</v>
      </c>
      <c r="R4" s="9">
        <v>14</v>
      </c>
      <c r="S4" s="9">
        <v>15</v>
      </c>
      <c r="T4" s="9">
        <v>16</v>
      </c>
      <c r="U4" s="9">
        <v>17</v>
      </c>
      <c r="V4" s="9">
        <v>18</v>
      </c>
      <c r="W4" s="9">
        <v>19</v>
      </c>
      <c r="X4" s="9">
        <v>20</v>
      </c>
      <c r="Y4" s="9">
        <v>21</v>
      </c>
      <c r="Z4" s="9">
        <v>22</v>
      </c>
      <c r="AA4" s="9">
        <v>23</v>
      </c>
      <c r="AB4" s="9">
        <v>24</v>
      </c>
      <c r="AC4" s="9">
        <v>25</v>
      </c>
      <c r="AD4" s="9">
        <v>26</v>
      </c>
      <c r="AE4" s="9">
        <v>27</v>
      </c>
      <c r="AF4" s="9">
        <v>28</v>
      </c>
      <c r="AG4" s="9">
        <v>29</v>
      </c>
      <c r="AH4" s="9">
        <v>30</v>
      </c>
      <c r="AI4" s="9">
        <v>31</v>
      </c>
      <c r="AJ4" s="9">
        <v>32</v>
      </c>
      <c r="AK4" s="13" t="s">
        <v>4</v>
      </c>
      <c r="AL4" s="13" t="s">
        <v>5</v>
      </c>
      <c r="AM4" s="14" t="s">
        <v>6</v>
      </c>
      <c r="AN4" s="15"/>
    </row>
    <row r="5" spans="1:40" ht="19.5" customHeight="1">
      <c r="A5" s="82"/>
      <c r="B5" s="83"/>
      <c r="C5" s="86"/>
      <c r="D5" s="5" t="s">
        <v>7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S5" s="10"/>
      <c r="T5" s="10"/>
      <c r="U5" s="10"/>
      <c r="V5" s="10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6" t="s">
        <v>8</v>
      </c>
      <c r="AL5" s="16" t="s">
        <v>9</v>
      </c>
      <c r="AM5" s="17"/>
    </row>
    <row r="6" spans="1:40" ht="18" customHeight="1">
      <c r="A6" s="6">
        <v>1</v>
      </c>
      <c r="B6" s="84" t="s">
        <v>12</v>
      </c>
      <c r="C6" s="2" t="s">
        <v>100</v>
      </c>
      <c r="D6" s="2" t="s">
        <v>99</v>
      </c>
      <c r="E6" s="11" t="s">
        <v>146</v>
      </c>
      <c r="F6" s="11" t="s">
        <v>147</v>
      </c>
      <c r="G6" s="11" t="s">
        <v>148</v>
      </c>
      <c r="H6" s="11" t="s">
        <v>149</v>
      </c>
      <c r="I6" s="11" t="s">
        <v>150</v>
      </c>
      <c r="J6" s="11" t="s">
        <v>151</v>
      </c>
      <c r="K6" s="11" t="s">
        <v>145</v>
      </c>
      <c r="L6" s="11" t="s">
        <v>152</v>
      </c>
      <c r="M6" s="11"/>
      <c r="N6" s="11"/>
      <c r="O6" s="11"/>
      <c r="P6" s="11"/>
      <c r="Q6" s="57"/>
      <c r="R6" s="57"/>
      <c r="S6" s="11"/>
      <c r="T6" s="11"/>
      <c r="U6" s="57"/>
      <c r="V6" s="57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8">
        <f>COUNTIF($E6:$AJ6,AK$5)</f>
        <v>0</v>
      </c>
      <c r="AL6" s="18">
        <f t="shared" ref="AK6:AL10" si="0">COUNTIF($E6:$AJ6,AL$5)</f>
        <v>0</v>
      </c>
      <c r="AM6" s="19" t="e">
        <f t="shared" ref="AM6:AM68" si="1">(AK6/(AK6+AL6)*100)</f>
        <v>#DIV/0!</v>
      </c>
    </row>
    <row r="7" spans="1:40" ht="18" customHeight="1">
      <c r="A7" s="6">
        <v>2</v>
      </c>
      <c r="B7" s="84"/>
      <c r="C7" s="22" t="s">
        <v>14</v>
      </c>
      <c r="D7" s="25" t="s">
        <v>11</v>
      </c>
      <c r="E7" s="41" t="s">
        <v>9</v>
      </c>
      <c r="F7" s="41" t="s">
        <v>8</v>
      </c>
      <c r="G7" s="41" t="s">
        <v>9</v>
      </c>
      <c r="H7" s="41" t="s">
        <v>9</v>
      </c>
      <c r="I7" s="41" t="s">
        <v>9</v>
      </c>
      <c r="J7" s="41" t="s">
        <v>9</v>
      </c>
      <c r="K7" s="41" t="s">
        <v>9</v>
      </c>
      <c r="L7" s="93" t="s">
        <v>9</v>
      </c>
      <c r="M7" s="11"/>
      <c r="N7" s="11"/>
      <c r="O7" s="11"/>
      <c r="P7" s="11"/>
      <c r="Q7" s="57"/>
      <c r="R7" s="57"/>
      <c r="S7" s="11"/>
      <c r="T7" s="11"/>
      <c r="U7" s="57"/>
      <c r="V7" s="57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8">
        <f t="shared" si="0"/>
        <v>1</v>
      </c>
      <c r="AL7" s="18">
        <f t="shared" si="0"/>
        <v>7</v>
      </c>
      <c r="AM7" s="19">
        <f t="shared" si="1"/>
        <v>12.5</v>
      </c>
    </row>
    <row r="8" spans="1:40" ht="18" customHeight="1">
      <c r="A8" s="6">
        <v>3</v>
      </c>
      <c r="B8" s="84"/>
      <c r="C8" s="23" t="s">
        <v>22</v>
      </c>
      <c r="D8" s="24" t="s">
        <v>19</v>
      </c>
      <c r="E8" s="40" t="s">
        <v>9</v>
      </c>
      <c r="F8" s="40" t="s">
        <v>9</v>
      </c>
      <c r="G8" s="40" t="s">
        <v>9</v>
      </c>
      <c r="H8" s="41" t="s">
        <v>9</v>
      </c>
      <c r="I8" s="41" t="s">
        <v>9</v>
      </c>
      <c r="J8" s="41" t="s">
        <v>9</v>
      </c>
      <c r="K8" s="41" t="s">
        <v>9</v>
      </c>
      <c r="L8" s="92" t="s">
        <v>9</v>
      </c>
      <c r="M8" s="11"/>
      <c r="N8" s="11"/>
      <c r="O8" s="11"/>
      <c r="P8" s="11"/>
      <c r="Q8" s="57"/>
      <c r="R8" s="57"/>
      <c r="S8" s="11"/>
      <c r="T8" s="11"/>
      <c r="U8" s="57"/>
      <c r="V8" s="57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8">
        <f t="shared" si="0"/>
        <v>0</v>
      </c>
      <c r="AL8" s="18">
        <f t="shared" si="0"/>
        <v>8</v>
      </c>
      <c r="AM8" s="19">
        <f t="shared" si="1"/>
        <v>0</v>
      </c>
    </row>
    <row r="9" spans="1:40" ht="18" customHeight="1">
      <c r="A9" s="6">
        <v>4</v>
      </c>
      <c r="B9" s="84"/>
      <c r="C9" s="22" t="s">
        <v>20</v>
      </c>
      <c r="D9" s="25" t="s">
        <v>16</v>
      </c>
      <c r="E9" s="40" t="s">
        <v>9</v>
      </c>
      <c r="F9" s="40" t="s">
        <v>8</v>
      </c>
      <c r="G9" s="40" t="s">
        <v>9</v>
      </c>
      <c r="H9" s="41" t="s">
        <v>9</v>
      </c>
      <c r="I9" s="41" t="s">
        <v>8</v>
      </c>
      <c r="J9" s="41" t="s">
        <v>9</v>
      </c>
      <c r="K9" s="41" t="s">
        <v>9</v>
      </c>
      <c r="L9" s="92" t="s">
        <v>9</v>
      </c>
      <c r="M9" s="11"/>
      <c r="N9" s="11"/>
      <c r="O9" s="11"/>
      <c r="P9" s="11"/>
      <c r="Q9" s="57"/>
      <c r="R9" s="57"/>
      <c r="S9" s="11"/>
      <c r="T9" s="11"/>
      <c r="U9" s="57"/>
      <c r="V9" s="57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8">
        <f t="shared" si="0"/>
        <v>2</v>
      </c>
      <c r="AL9" s="18">
        <f t="shared" si="0"/>
        <v>6</v>
      </c>
      <c r="AM9" s="19">
        <f t="shared" si="1"/>
        <v>25</v>
      </c>
    </row>
    <row r="10" spans="1:40" ht="18" customHeight="1">
      <c r="A10" s="6">
        <v>5</v>
      </c>
      <c r="B10" s="84"/>
      <c r="C10" s="23" t="s">
        <v>21</v>
      </c>
      <c r="D10" s="24" t="s">
        <v>17</v>
      </c>
      <c r="E10" s="40" t="s">
        <v>9</v>
      </c>
      <c r="F10" s="40" t="s">
        <v>9</v>
      </c>
      <c r="G10" s="40" t="s">
        <v>9</v>
      </c>
      <c r="H10" s="41" t="s">
        <v>9</v>
      </c>
      <c r="I10" s="41" t="s">
        <v>9</v>
      </c>
      <c r="J10" s="41" t="s">
        <v>9</v>
      </c>
      <c r="K10" s="41" t="s">
        <v>9</v>
      </c>
      <c r="L10" s="92" t="s">
        <v>9</v>
      </c>
      <c r="M10" s="11"/>
      <c r="N10" s="11"/>
      <c r="O10" s="11"/>
      <c r="P10" s="11"/>
      <c r="Q10" s="57"/>
      <c r="R10" s="57"/>
      <c r="S10" s="11"/>
      <c r="T10" s="11"/>
      <c r="U10" s="57"/>
      <c r="V10" s="57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8">
        <f t="shared" si="0"/>
        <v>0</v>
      </c>
      <c r="AL10" s="18">
        <f t="shared" si="0"/>
        <v>8</v>
      </c>
      <c r="AM10" s="19">
        <f t="shared" si="1"/>
        <v>0</v>
      </c>
    </row>
    <row r="11" spans="1:40" ht="18" customHeight="1">
      <c r="A11" s="6">
        <v>6</v>
      </c>
      <c r="B11" s="84"/>
      <c r="C11" s="22" t="s">
        <v>28</v>
      </c>
      <c r="D11" s="25" t="s">
        <v>18</v>
      </c>
      <c r="E11" s="40" t="s">
        <v>9</v>
      </c>
      <c r="F11" s="40" t="s">
        <v>9</v>
      </c>
      <c r="G11" s="40" t="s">
        <v>9</v>
      </c>
      <c r="H11" s="41" t="s">
        <v>9</v>
      </c>
      <c r="I11" s="41" t="s">
        <v>9</v>
      </c>
      <c r="J11" s="41" t="s">
        <v>9</v>
      </c>
      <c r="K11" s="41" t="s">
        <v>9</v>
      </c>
      <c r="L11" s="92" t="s">
        <v>9</v>
      </c>
      <c r="M11" s="11"/>
      <c r="N11" s="11"/>
      <c r="O11" s="11"/>
      <c r="P11" s="11"/>
      <c r="Q11" s="57"/>
      <c r="R11" s="57"/>
      <c r="S11" s="11"/>
      <c r="T11" s="11"/>
      <c r="U11" s="57"/>
      <c r="V11" s="57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8">
        <f t="shared" ref="AK11:AL26" si="2">COUNTIF($E11:$AJ11,AK$5)</f>
        <v>0</v>
      </c>
      <c r="AL11" s="18">
        <f t="shared" si="2"/>
        <v>8</v>
      </c>
      <c r="AM11" s="19">
        <f t="shared" si="1"/>
        <v>0</v>
      </c>
    </row>
    <row r="12" spans="1:40" ht="18" customHeight="1">
      <c r="A12" s="6">
        <v>7</v>
      </c>
      <c r="B12" s="84"/>
      <c r="C12" s="7" t="s">
        <v>25</v>
      </c>
      <c r="D12" s="24" t="s">
        <v>24</v>
      </c>
      <c r="E12" s="40" t="s">
        <v>9</v>
      </c>
      <c r="F12" s="40" t="s">
        <v>9</v>
      </c>
      <c r="G12" s="40" t="s">
        <v>9</v>
      </c>
      <c r="H12" s="41" t="s">
        <v>9</v>
      </c>
      <c r="I12" s="41" t="s">
        <v>9</v>
      </c>
      <c r="J12" s="41" t="s">
        <v>9</v>
      </c>
      <c r="K12" s="41" t="s">
        <v>9</v>
      </c>
      <c r="L12" s="92" t="s">
        <v>9</v>
      </c>
      <c r="M12" s="11"/>
      <c r="N12" s="11"/>
      <c r="O12" s="11"/>
      <c r="P12" s="11"/>
      <c r="Q12" s="57"/>
      <c r="R12" s="57"/>
      <c r="S12" s="11"/>
      <c r="T12" s="11"/>
      <c r="U12" s="57"/>
      <c r="V12" s="57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8">
        <f t="shared" si="2"/>
        <v>0</v>
      </c>
      <c r="AL12" s="18">
        <f t="shared" si="2"/>
        <v>8</v>
      </c>
      <c r="AM12" s="19">
        <f t="shared" si="1"/>
        <v>0</v>
      </c>
    </row>
    <row r="13" spans="1:40" ht="18" customHeight="1">
      <c r="A13" s="6">
        <v>8</v>
      </c>
      <c r="B13" s="84"/>
      <c r="C13" s="23" t="s">
        <v>23</v>
      </c>
      <c r="D13" s="20" t="s">
        <v>26</v>
      </c>
      <c r="E13" s="40" t="s">
        <v>9</v>
      </c>
      <c r="F13" s="40" t="s">
        <v>9</v>
      </c>
      <c r="G13" s="40" t="s">
        <v>9</v>
      </c>
      <c r="H13" s="41" t="s">
        <v>9</v>
      </c>
      <c r="I13" s="41" t="s">
        <v>8</v>
      </c>
      <c r="J13" s="40" t="s">
        <v>8</v>
      </c>
      <c r="K13" s="40" t="s">
        <v>8</v>
      </c>
      <c r="L13" s="92" t="s">
        <v>8</v>
      </c>
      <c r="M13" s="11"/>
      <c r="N13" s="11"/>
      <c r="O13" s="11"/>
      <c r="P13" s="11"/>
      <c r="Q13" s="57"/>
      <c r="R13" s="57"/>
      <c r="S13" s="11"/>
      <c r="T13" s="11"/>
      <c r="U13" s="57"/>
      <c r="V13" s="57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8">
        <f t="shared" si="2"/>
        <v>4</v>
      </c>
      <c r="AL13" s="18">
        <f t="shared" si="2"/>
        <v>4</v>
      </c>
      <c r="AM13" s="19">
        <f t="shared" si="1"/>
        <v>50</v>
      </c>
    </row>
    <row r="14" spans="1:40" ht="18" customHeight="1" thickBot="1">
      <c r="A14" s="6">
        <v>9</v>
      </c>
      <c r="B14" s="85"/>
      <c r="C14" s="23" t="s">
        <v>13</v>
      </c>
      <c r="D14" s="24" t="s">
        <v>15</v>
      </c>
      <c r="E14" s="40" t="s">
        <v>9</v>
      </c>
      <c r="F14" s="40" t="s">
        <v>8</v>
      </c>
      <c r="G14" s="40" t="s">
        <v>9</v>
      </c>
      <c r="H14" s="41" t="s">
        <v>9</v>
      </c>
      <c r="I14" s="41" t="s">
        <v>8</v>
      </c>
      <c r="J14" s="40" t="s">
        <v>9</v>
      </c>
      <c r="K14" s="40" t="s">
        <v>9</v>
      </c>
      <c r="L14" s="92" t="s">
        <v>9</v>
      </c>
      <c r="M14" s="11"/>
      <c r="N14" s="11"/>
      <c r="O14" s="11"/>
      <c r="P14" s="11"/>
      <c r="Q14" s="57"/>
      <c r="R14" s="57"/>
      <c r="S14" s="11"/>
      <c r="T14" s="11"/>
      <c r="U14" s="57"/>
      <c r="V14" s="57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8">
        <f t="shared" si="2"/>
        <v>2</v>
      </c>
      <c r="AL14" s="18">
        <f t="shared" si="2"/>
        <v>6</v>
      </c>
      <c r="AM14" s="19"/>
    </row>
    <row r="15" spans="1:40" ht="18" customHeight="1" thickBot="1">
      <c r="A15" s="6">
        <v>10</v>
      </c>
      <c r="B15" s="85"/>
      <c r="C15" s="27" t="s">
        <v>29</v>
      </c>
      <c r="D15" s="21" t="s">
        <v>27</v>
      </c>
      <c r="E15" s="40" t="s">
        <v>9</v>
      </c>
      <c r="F15" s="40" t="s">
        <v>8</v>
      </c>
      <c r="G15" s="40" t="s">
        <v>9</v>
      </c>
      <c r="H15" s="41" t="s">
        <v>9</v>
      </c>
      <c r="I15" s="40" t="s">
        <v>8</v>
      </c>
      <c r="J15" s="40" t="s">
        <v>9</v>
      </c>
      <c r="K15" s="40" t="s">
        <v>9</v>
      </c>
      <c r="L15" s="92" t="s">
        <v>9</v>
      </c>
      <c r="M15" s="11"/>
      <c r="N15" s="11"/>
      <c r="O15" s="11"/>
      <c r="P15" s="11"/>
      <c r="Q15" s="57"/>
      <c r="R15" s="57"/>
      <c r="S15" s="11"/>
      <c r="T15" s="11"/>
      <c r="U15" s="57"/>
      <c r="V15" s="57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8">
        <f t="shared" si="2"/>
        <v>2</v>
      </c>
      <c r="AL15" s="18">
        <f t="shared" si="2"/>
        <v>6</v>
      </c>
      <c r="AM15" s="19">
        <f t="shared" si="1"/>
        <v>25</v>
      </c>
    </row>
    <row r="16" spans="1:40" ht="15.75" customHeight="1">
      <c r="A16" s="6">
        <v>11</v>
      </c>
      <c r="B16" s="89" t="s">
        <v>98</v>
      </c>
      <c r="C16" s="28" t="s">
        <v>30</v>
      </c>
      <c r="D16" s="29" t="s">
        <v>31</v>
      </c>
      <c r="E16" s="67" t="s">
        <v>9</v>
      </c>
      <c r="F16" s="67" t="s">
        <v>9</v>
      </c>
      <c r="G16" s="67" t="s">
        <v>9</v>
      </c>
      <c r="H16" s="73" t="s">
        <v>9</v>
      </c>
      <c r="I16" s="67" t="s">
        <v>9</v>
      </c>
      <c r="J16" s="40" t="s">
        <v>9</v>
      </c>
      <c r="K16" s="40" t="s">
        <v>9</v>
      </c>
      <c r="L16" s="94" t="s">
        <v>9</v>
      </c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5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64">
        <f t="shared" si="2"/>
        <v>0</v>
      </c>
      <c r="AL16" s="18">
        <f t="shared" si="2"/>
        <v>8</v>
      </c>
      <c r="AM16" s="19">
        <f t="shared" si="1"/>
        <v>0</v>
      </c>
    </row>
    <row r="17" spans="1:40" ht="15.75" customHeight="1">
      <c r="A17" s="6">
        <v>12</v>
      </c>
      <c r="B17" s="90"/>
      <c r="C17" s="26" t="s">
        <v>32</v>
      </c>
      <c r="D17" s="30" t="s">
        <v>33</v>
      </c>
      <c r="E17" s="67" t="s">
        <v>8</v>
      </c>
      <c r="F17" s="67" t="s">
        <v>8</v>
      </c>
      <c r="G17" s="67" t="s">
        <v>8</v>
      </c>
      <c r="H17" s="73" t="s">
        <v>9</v>
      </c>
      <c r="I17" s="67" t="s">
        <v>9</v>
      </c>
      <c r="J17" s="40" t="s">
        <v>9</v>
      </c>
      <c r="K17" s="40" t="s">
        <v>8</v>
      </c>
      <c r="L17" s="94" t="s">
        <v>9</v>
      </c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5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64">
        <f t="shared" si="2"/>
        <v>4</v>
      </c>
      <c r="AL17" s="18">
        <f t="shared" si="2"/>
        <v>4</v>
      </c>
      <c r="AM17" s="19">
        <f t="shared" si="1"/>
        <v>50</v>
      </c>
    </row>
    <row r="18" spans="1:40" ht="15.75" customHeight="1">
      <c r="A18" s="6">
        <v>13</v>
      </c>
      <c r="B18" s="90"/>
      <c r="C18" s="26" t="s">
        <v>34</v>
      </c>
      <c r="D18" s="30" t="s">
        <v>35</v>
      </c>
      <c r="E18" s="67" t="s">
        <v>8</v>
      </c>
      <c r="F18" s="67" t="s">
        <v>8</v>
      </c>
      <c r="G18" s="67" t="s">
        <v>8</v>
      </c>
      <c r="H18" s="73" t="s">
        <v>9</v>
      </c>
      <c r="I18" s="67" t="s">
        <v>9</v>
      </c>
      <c r="J18" s="40" t="s">
        <v>9</v>
      </c>
      <c r="K18" s="40" t="s">
        <v>8</v>
      </c>
      <c r="L18" s="94" t="s">
        <v>9</v>
      </c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56"/>
      <c r="Z18" s="46"/>
      <c r="AA18" s="46"/>
      <c r="AB18" s="46"/>
      <c r="AC18" s="46"/>
      <c r="AD18" s="46"/>
      <c r="AE18" s="46"/>
      <c r="AF18" s="65" t="s">
        <v>10</v>
      </c>
      <c r="AG18" s="65"/>
      <c r="AH18" s="65"/>
      <c r="AI18" s="65"/>
      <c r="AJ18" s="65"/>
      <c r="AK18" s="64">
        <f t="shared" si="2"/>
        <v>4</v>
      </c>
      <c r="AL18" s="18">
        <f t="shared" si="2"/>
        <v>4</v>
      </c>
      <c r="AM18" s="19">
        <f t="shared" si="1"/>
        <v>50</v>
      </c>
    </row>
    <row r="19" spans="1:40" ht="15.75" customHeight="1">
      <c r="A19" s="6">
        <v>14</v>
      </c>
      <c r="B19" s="90"/>
      <c r="C19" s="26" t="s">
        <v>36</v>
      </c>
      <c r="D19" s="30" t="s">
        <v>37</v>
      </c>
      <c r="E19" s="67" t="s">
        <v>9</v>
      </c>
      <c r="F19" s="67" t="s">
        <v>9</v>
      </c>
      <c r="G19" s="67" t="s">
        <v>9</v>
      </c>
      <c r="H19" s="73" t="s">
        <v>9</v>
      </c>
      <c r="I19" s="67" t="s">
        <v>9</v>
      </c>
      <c r="J19" s="40" t="s">
        <v>9</v>
      </c>
      <c r="K19" s="40" t="s">
        <v>9</v>
      </c>
      <c r="L19" s="94" t="s">
        <v>8</v>
      </c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5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64">
        <f t="shared" si="2"/>
        <v>1</v>
      </c>
      <c r="AL19" s="18">
        <f t="shared" si="2"/>
        <v>7</v>
      </c>
      <c r="AM19" s="19">
        <f t="shared" si="1"/>
        <v>12.5</v>
      </c>
      <c r="AN19" s="2"/>
    </row>
    <row r="20" spans="1:40" ht="15.75" customHeight="1">
      <c r="A20" s="6">
        <v>15</v>
      </c>
      <c r="B20" s="90"/>
      <c r="C20" s="26" t="s">
        <v>38</v>
      </c>
      <c r="D20" s="30" t="s">
        <v>39</v>
      </c>
      <c r="E20" s="67" t="s">
        <v>9</v>
      </c>
      <c r="F20" s="67" t="s">
        <v>9</v>
      </c>
      <c r="G20" s="67" t="s">
        <v>9</v>
      </c>
      <c r="H20" s="73" t="s">
        <v>9</v>
      </c>
      <c r="I20" s="67" t="s">
        <v>9</v>
      </c>
      <c r="J20" s="40" t="s">
        <v>9</v>
      </c>
      <c r="K20" s="40" t="s">
        <v>9</v>
      </c>
      <c r="L20" s="94" t="s">
        <v>9</v>
      </c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5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64">
        <f t="shared" si="2"/>
        <v>0</v>
      </c>
      <c r="AL20" s="18">
        <f t="shared" si="2"/>
        <v>8</v>
      </c>
      <c r="AM20" s="19">
        <f t="shared" si="1"/>
        <v>0</v>
      </c>
    </row>
    <row r="21" spans="1:40" ht="15.75" customHeight="1">
      <c r="A21" s="6">
        <v>16</v>
      </c>
      <c r="B21" s="90"/>
      <c r="C21" s="26" t="s">
        <v>40</v>
      </c>
      <c r="D21" s="30" t="s">
        <v>41</v>
      </c>
      <c r="E21" s="67" t="s">
        <v>9</v>
      </c>
      <c r="F21" s="67" t="s">
        <v>9</v>
      </c>
      <c r="G21" s="67" t="s">
        <v>9</v>
      </c>
      <c r="H21" s="73" t="s">
        <v>9</v>
      </c>
      <c r="I21" s="67" t="s">
        <v>9</v>
      </c>
      <c r="J21" s="40" t="s">
        <v>9</v>
      </c>
      <c r="K21" s="40" t="s">
        <v>9</v>
      </c>
      <c r="L21" s="94" t="s">
        <v>9</v>
      </c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5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64">
        <f t="shared" si="2"/>
        <v>0</v>
      </c>
      <c r="AL21" s="18">
        <f t="shared" si="2"/>
        <v>8</v>
      </c>
      <c r="AM21" s="19">
        <f t="shared" si="1"/>
        <v>0</v>
      </c>
    </row>
    <row r="22" spans="1:40" ht="15.75" customHeight="1">
      <c r="A22" s="6">
        <v>17</v>
      </c>
      <c r="B22" s="90"/>
      <c r="C22" s="26" t="s">
        <v>42</v>
      </c>
      <c r="D22" s="30" t="s">
        <v>43</v>
      </c>
      <c r="E22" s="67" t="s">
        <v>9</v>
      </c>
      <c r="F22" s="67" t="s">
        <v>9</v>
      </c>
      <c r="G22" s="67" t="s">
        <v>9</v>
      </c>
      <c r="H22" s="73" t="s">
        <v>9</v>
      </c>
      <c r="I22" s="67" t="s">
        <v>9</v>
      </c>
      <c r="J22" s="40" t="s">
        <v>9</v>
      </c>
      <c r="K22" s="40" t="s">
        <v>9</v>
      </c>
      <c r="L22" s="94" t="s">
        <v>9</v>
      </c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5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64">
        <f t="shared" si="2"/>
        <v>0</v>
      </c>
      <c r="AL22" s="18">
        <f t="shared" si="2"/>
        <v>8</v>
      </c>
      <c r="AM22" s="19">
        <f t="shared" si="1"/>
        <v>0</v>
      </c>
    </row>
    <row r="23" spans="1:40" ht="15.75" customHeight="1">
      <c r="A23" s="6">
        <v>18</v>
      </c>
      <c r="B23" s="90"/>
      <c r="C23" s="26" t="s">
        <v>44</v>
      </c>
      <c r="D23" s="30" t="s">
        <v>45</v>
      </c>
      <c r="E23" s="67" t="s">
        <v>9</v>
      </c>
      <c r="F23" s="67" t="s">
        <v>9</v>
      </c>
      <c r="G23" s="67" t="s">
        <v>9</v>
      </c>
      <c r="H23" s="73" t="s">
        <v>9</v>
      </c>
      <c r="I23" s="67" t="s">
        <v>9</v>
      </c>
      <c r="J23" s="40" t="s">
        <v>9</v>
      </c>
      <c r="K23" s="40" t="s">
        <v>9</v>
      </c>
      <c r="L23" s="94" t="s">
        <v>9</v>
      </c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5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64">
        <f t="shared" si="2"/>
        <v>0</v>
      </c>
      <c r="AL23" s="18">
        <f t="shared" si="2"/>
        <v>8</v>
      </c>
      <c r="AM23" s="19">
        <f t="shared" si="1"/>
        <v>0</v>
      </c>
    </row>
    <row r="24" spans="1:40" ht="15.75" customHeight="1">
      <c r="A24" s="6">
        <v>19</v>
      </c>
      <c r="B24" s="90"/>
      <c r="C24" s="26" t="s">
        <v>46</v>
      </c>
      <c r="D24" s="30" t="s">
        <v>47</v>
      </c>
      <c r="E24" s="67" t="s">
        <v>9</v>
      </c>
      <c r="F24" s="67" t="s">
        <v>9</v>
      </c>
      <c r="G24" s="67" t="s">
        <v>9</v>
      </c>
      <c r="H24" s="73" t="s">
        <v>9</v>
      </c>
      <c r="I24" s="67" t="s">
        <v>9</v>
      </c>
      <c r="J24" s="40" t="s">
        <v>9</v>
      </c>
      <c r="K24" s="40" t="s">
        <v>9</v>
      </c>
      <c r="L24" s="94" t="s">
        <v>9</v>
      </c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5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64">
        <f t="shared" si="2"/>
        <v>0</v>
      </c>
      <c r="AL24" s="18">
        <f t="shared" si="2"/>
        <v>8</v>
      </c>
      <c r="AM24" s="19">
        <f t="shared" si="1"/>
        <v>0</v>
      </c>
    </row>
    <row r="25" spans="1:40" ht="15.75" customHeight="1">
      <c r="A25" s="6">
        <v>20</v>
      </c>
      <c r="B25" s="90"/>
      <c r="C25" s="26" t="s">
        <v>48</v>
      </c>
      <c r="D25" s="30" t="s">
        <v>49</v>
      </c>
      <c r="E25" s="67" t="s">
        <v>8</v>
      </c>
      <c r="F25" s="67" t="s">
        <v>8</v>
      </c>
      <c r="G25" s="67" t="s">
        <v>8</v>
      </c>
      <c r="H25" s="73" t="s">
        <v>9</v>
      </c>
      <c r="I25" s="67" t="s">
        <v>9</v>
      </c>
      <c r="J25" s="40" t="s">
        <v>8</v>
      </c>
      <c r="K25" s="40" t="s">
        <v>8</v>
      </c>
      <c r="L25" s="94" t="s">
        <v>8</v>
      </c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5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64">
        <f t="shared" si="2"/>
        <v>6</v>
      </c>
      <c r="AL25" s="18">
        <f t="shared" si="2"/>
        <v>2</v>
      </c>
      <c r="AM25" s="19">
        <f t="shared" si="1"/>
        <v>75</v>
      </c>
    </row>
    <row r="26" spans="1:40" ht="15.75" customHeight="1">
      <c r="A26" s="6">
        <v>21</v>
      </c>
      <c r="B26" s="90"/>
      <c r="C26" s="26" t="s">
        <v>50</v>
      </c>
      <c r="D26" s="30" t="s">
        <v>51</v>
      </c>
      <c r="E26" s="67" t="s">
        <v>9</v>
      </c>
      <c r="F26" s="67" t="s">
        <v>9</v>
      </c>
      <c r="G26" s="67" t="s">
        <v>9</v>
      </c>
      <c r="H26" s="73" t="s">
        <v>9</v>
      </c>
      <c r="I26" s="67" t="s">
        <v>9</v>
      </c>
      <c r="J26" s="40" t="s">
        <v>9</v>
      </c>
      <c r="K26" s="40" t="s">
        <v>9</v>
      </c>
      <c r="L26" s="94" t="s">
        <v>9</v>
      </c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5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64">
        <f t="shared" si="2"/>
        <v>0</v>
      </c>
      <c r="AL26" s="18">
        <f t="shared" si="2"/>
        <v>8</v>
      </c>
      <c r="AM26" s="19">
        <f t="shared" si="1"/>
        <v>0</v>
      </c>
    </row>
    <row r="27" spans="1:40" ht="15.75" customHeight="1">
      <c r="A27" s="6">
        <v>22</v>
      </c>
      <c r="B27" s="90"/>
      <c r="C27" s="26" t="s">
        <v>52</v>
      </c>
      <c r="D27" s="30" t="s">
        <v>53</v>
      </c>
      <c r="E27" s="67" t="s">
        <v>9</v>
      </c>
      <c r="F27" s="67" t="s">
        <v>8</v>
      </c>
      <c r="G27" s="67" t="s">
        <v>9</v>
      </c>
      <c r="H27" s="73" t="s">
        <v>9</v>
      </c>
      <c r="I27" s="67" t="s">
        <v>9</v>
      </c>
      <c r="J27" s="40" t="s">
        <v>9</v>
      </c>
      <c r="K27" s="40" t="s">
        <v>8</v>
      </c>
      <c r="L27" s="94" t="s">
        <v>9</v>
      </c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5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64">
        <f t="shared" ref="AK27:AL69" si="3">COUNTIF($E27:$AJ27,AK$5)</f>
        <v>2</v>
      </c>
      <c r="AL27" s="18">
        <f t="shared" si="3"/>
        <v>6</v>
      </c>
      <c r="AM27" s="19">
        <f t="shared" si="1"/>
        <v>25</v>
      </c>
    </row>
    <row r="28" spans="1:40" ht="15.75" customHeight="1">
      <c r="A28" s="6">
        <v>23</v>
      </c>
      <c r="B28" s="90"/>
      <c r="C28" s="26" t="s">
        <v>54</v>
      </c>
      <c r="D28" s="30" t="s">
        <v>55</v>
      </c>
      <c r="E28" s="67" t="s">
        <v>9</v>
      </c>
      <c r="F28" s="67" t="s">
        <v>9</v>
      </c>
      <c r="G28" s="67" t="s">
        <v>9</v>
      </c>
      <c r="H28" s="73" t="s">
        <v>9</v>
      </c>
      <c r="I28" s="67" t="s">
        <v>9</v>
      </c>
      <c r="J28" s="40" t="s">
        <v>9</v>
      </c>
      <c r="K28" s="40" t="s">
        <v>9</v>
      </c>
      <c r="L28" s="94" t="s">
        <v>9</v>
      </c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5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64">
        <f t="shared" si="3"/>
        <v>0</v>
      </c>
      <c r="AL28" s="18">
        <f t="shared" si="3"/>
        <v>8</v>
      </c>
      <c r="AM28" s="19">
        <f t="shared" si="1"/>
        <v>0</v>
      </c>
    </row>
    <row r="29" spans="1:40" ht="15.75" customHeight="1">
      <c r="A29" s="6">
        <v>24</v>
      </c>
      <c r="B29" s="90"/>
      <c r="C29" s="26" t="s">
        <v>56</v>
      </c>
      <c r="D29" s="30" t="s">
        <v>57</v>
      </c>
      <c r="E29" s="67" t="s">
        <v>9</v>
      </c>
      <c r="F29" s="67" t="s">
        <v>9</v>
      </c>
      <c r="G29" s="67" t="s">
        <v>9</v>
      </c>
      <c r="H29" s="73" t="s">
        <v>9</v>
      </c>
      <c r="I29" s="67" t="s">
        <v>9</v>
      </c>
      <c r="J29" s="40" t="s">
        <v>9</v>
      </c>
      <c r="K29" s="40" t="s">
        <v>9</v>
      </c>
      <c r="L29" s="94" t="s">
        <v>9</v>
      </c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5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64">
        <f t="shared" si="3"/>
        <v>0</v>
      </c>
      <c r="AL29" s="18">
        <f t="shared" si="3"/>
        <v>8</v>
      </c>
      <c r="AM29" s="19">
        <f t="shared" si="1"/>
        <v>0</v>
      </c>
    </row>
    <row r="30" spans="1:40" ht="15.75" customHeight="1">
      <c r="A30" s="6">
        <v>25</v>
      </c>
      <c r="B30" s="90"/>
      <c r="C30" s="26" t="s">
        <v>58</v>
      </c>
      <c r="D30" s="30" t="s">
        <v>59</v>
      </c>
      <c r="E30" s="67" t="s">
        <v>9</v>
      </c>
      <c r="F30" s="67" t="s">
        <v>9</v>
      </c>
      <c r="G30" s="67" t="s">
        <v>9</v>
      </c>
      <c r="H30" s="73" t="s">
        <v>9</v>
      </c>
      <c r="I30" s="67" t="s">
        <v>9</v>
      </c>
      <c r="J30" s="40" t="s">
        <v>9</v>
      </c>
      <c r="K30" s="40" t="s">
        <v>9</v>
      </c>
      <c r="L30" s="94" t="s">
        <v>9</v>
      </c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5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64">
        <f t="shared" si="3"/>
        <v>0</v>
      </c>
      <c r="AL30" s="18">
        <f t="shared" si="3"/>
        <v>8</v>
      </c>
      <c r="AM30" s="19">
        <f t="shared" si="1"/>
        <v>0</v>
      </c>
    </row>
    <row r="31" spans="1:40" ht="15.75" customHeight="1">
      <c r="A31" s="6">
        <v>26</v>
      </c>
      <c r="B31" s="90"/>
      <c r="C31" s="31" t="s">
        <v>60</v>
      </c>
      <c r="D31" s="32" t="s">
        <v>61</v>
      </c>
      <c r="E31" s="67" t="s">
        <v>8</v>
      </c>
      <c r="F31" s="67" t="s">
        <v>8</v>
      </c>
      <c r="G31" s="67" t="s">
        <v>8</v>
      </c>
      <c r="H31" s="73" t="s">
        <v>8</v>
      </c>
      <c r="I31" s="67" t="s">
        <v>9</v>
      </c>
      <c r="J31" s="40" t="s">
        <v>9</v>
      </c>
      <c r="K31" s="40" t="s">
        <v>9</v>
      </c>
      <c r="L31" s="94" t="s">
        <v>9</v>
      </c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5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64">
        <f t="shared" si="3"/>
        <v>4</v>
      </c>
      <c r="AL31" s="18">
        <f t="shared" si="3"/>
        <v>4</v>
      </c>
      <c r="AM31" s="19">
        <f t="shared" si="1"/>
        <v>50</v>
      </c>
    </row>
    <row r="32" spans="1:40" ht="15.75" customHeight="1">
      <c r="A32" s="6">
        <v>27</v>
      </c>
      <c r="B32" s="90"/>
      <c r="C32" s="26" t="s">
        <v>62</v>
      </c>
      <c r="D32" s="30" t="s">
        <v>63</v>
      </c>
      <c r="E32" s="67" t="s">
        <v>9</v>
      </c>
      <c r="F32" s="67" t="s">
        <v>9</v>
      </c>
      <c r="G32" s="67" t="s">
        <v>9</v>
      </c>
      <c r="H32" s="73" t="s">
        <v>9</v>
      </c>
      <c r="I32" s="67" t="s">
        <v>9</v>
      </c>
      <c r="J32" s="40" t="s">
        <v>9</v>
      </c>
      <c r="K32" s="40" t="s">
        <v>9</v>
      </c>
      <c r="L32" s="94" t="s">
        <v>9</v>
      </c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5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64">
        <f t="shared" si="3"/>
        <v>0</v>
      </c>
      <c r="AL32" s="18">
        <f t="shared" si="3"/>
        <v>8</v>
      </c>
      <c r="AM32" s="19">
        <f t="shared" si="1"/>
        <v>0</v>
      </c>
    </row>
    <row r="33" spans="1:39" ht="15.75" customHeight="1">
      <c r="A33" s="6">
        <v>28</v>
      </c>
      <c r="B33" s="91" t="s">
        <v>97</v>
      </c>
      <c r="C33" s="33" t="s">
        <v>64</v>
      </c>
      <c r="D33" s="34" t="s">
        <v>65</v>
      </c>
      <c r="E33" s="67" t="s">
        <v>9</v>
      </c>
      <c r="F33" s="67" t="s">
        <v>8</v>
      </c>
      <c r="G33" s="67" t="s">
        <v>9</v>
      </c>
      <c r="H33" s="73" t="s">
        <v>9</v>
      </c>
      <c r="I33" s="67" t="s">
        <v>8</v>
      </c>
      <c r="J33" s="67" t="s">
        <v>8</v>
      </c>
      <c r="K33" s="67" t="s">
        <v>9</v>
      </c>
      <c r="L33" s="94" t="s">
        <v>9</v>
      </c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5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64">
        <f t="shared" si="3"/>
        <v>3</v>
      </c>
      <c r="AL33" s="18">
        <f t="shared" si="3"/>
        <v>5</v>
      </c>
      <c r="AM33" s="19">
        <f t="shared" si="1"/>
        <v>37.5</v>
      </c>
    </row>
    <row r="34" spans="1:39" ht="15.75" customHeight="1">
      <c r="A34" s="6">
        <v>29</v>
      </c>
      <c r="B34" s="91"/>
      <c r="C34" s="35" t="s">
        <v>66</v>
      </c>
      <c r="D34" s="36" t="s">
        <v>67</v>
      </c>
      <c r="E34" s="67" t="s">
        <v>8</v>
      </c>
      <c r="F34" s="67" t="s">
        <v>8</v>
      </c>
      <c r="G34" s="67" t="s">
        <v>9</v>
      </c>
      <c r="H34" s="73" t="s">
        <v>9</v>
      </c>
      <c r="I34" s="67" t="s">
        <v>9</v>
      </c>
      <c r="J34" s="67" t="s">
        <v>8</v>
      </c>
      <c r="K34" s="67" t="s">
        <v>8</v>
      </c>
      <c r="L34" s="94" t="s">
        <v>8</v>
      </c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5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64">
        <f t="shared" si="3"/>
        <v>5</v>
      </c>
      <c r="AL34" s="18">
        <f t="shared" si="3"/>
        <v>3</v>
      </c>
      <c r="AM34" s="19">
        <f t="shared" si="1"/>
        <v>62.5</v>
      </c>
    </row>
    <row r="35" spans="1:39" ht="15.75" customHeight="1">
      <c r="A35" s="6">
        <v>30</v>
      </c>
      <c r="B35" s="91"/>
      <c r="C35" s="33" t="s">
        <v>68</v>
      </c>
      <c r="D35" s="34" t="s">
        <v>69</v>
      </c>
      <c r="E35" s="67" t="s">
        <v>9</v>
      </c>
      <c r="F35" s="67" t="s">
        <v>9</v>
      </c>
      <c r="G35" s="67" t="s">
        <v>9</v>
      </c>
      <c r="H35" s="73" t="s">
        <v>9</v>
      </c>
      <c r="I35" s="67" t="s">
        <v>9</v>
      </c>
      <c r="J35" s="67" t="s">
        <v>9</v>
      </c>
      <c r="K35" s="67" t="s">
        <v>9</v>
      </c>
      <c r="L35" s="94" t="s">
        <v>9</v>
      </c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5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64">
        <f t="shared" si="3"/>
        <v>0</v>
      </c>
      <c r="AL35" s="18">
        <f t="shared" si="3"/>
        <v>8</v>
      </c>
      <c r="AM35" s="19">
        <f t="shared" si="1"/>
        <v>0</v>
      </c>
    </row>
    <row r="36" spans="1:39" ht="15.75" customHeight="1">
      <c r="A36" s="6">
        <v>31</v>
      </c>
      <c r="B36" s="91"/>
      <c r="C36" s="35" t="s">
        <v>70</v>
      </c>
      <c r="D36" s="36" t="s">
        <v>71</v>
      </c>
      <c r="E36" s="67" t="s">
        <v>8</v>
      </c>
      <c r="F36" s="67" t="s">
        <v>8</v>
      </c>
      <c r="G36" s="67" t="s">
        <v>9</v>
      </c>
      <c r="H36" s="73" t="s">
        <v>9</v>
      </c>
      <c r="I36" s="67" t="s">
        <v>9</v>
      </c>
      <c r="J36" s="67" t="s">
        <v>8</v>
      </c>
      <c r="K36" s="67" t="s">
        <v>8</v>
      </c>
      <c r="L36" s="94" t="s">
        <v>8</v>
      </c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5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64">
        <f t="shared" si="3"/>
        <v>5</v>
      </c>
      <c r="AL36" s="18">
        <f t="shared" si="3"/>
        <v>3</v>
      </c>
      <c r="AM36" s="19">
        <f t="shared" si="1"/>
        <v>62.5</v>
      </c>
    </row>
    <row r="37" spans="1:39" ht="15.75" customHeight="1">
      <c r="A37" s="6">
        <v>32</v>
      </c>
      <c r="B37" s="91"/>
      <c r="C37" s="33" t="s">
        <v>72</v>
      </c>
      <c r="D37" s="34" t="s">
        <v>73</v>
      </c>
      <c r="E37" s="67" t="s">
        <v>9</v>
      </c>
      <c r="F37" s="67" t="s">
        <v>9</v>
      </c>
      <c r="G37" s="67" t="s">
        <v>8</v>
      </c>
      <c r="H37" s="73" t="s">
        <v>9</v>
      </c>
      <c r="I37" s="67" t="s">
        <v>9</v>
      </c>
      <c r="J37" s="67" t="s">
        <v>9</v>
      </c>
      <c r="K37" s="67" t="s">
        <v>9</v>
      </c>
      <c r="L37" s="94" t="s">
        <v>9</v>
      </c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5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64">
        <f t="shared" si="3"/>
        <v>1</v>
      </c>
      <c r="AL37" s="18">
        <f t="shared" si="3"/>
        <v>7</v>
      </c>
      <c r="AM37" s="19">
        <f t="shared" si="1"/>
        <v>12.5</v>
      </c>
    </row>
    <row r="38" spans="1:39" ht="15.75" customHeight="1">
      <c r="A38" s="6">
        <v>33</v>
      </c>
      <c r="B38" s="91"/>
      <c r="C38" s="35" t="s">
        <v>74</v>
      </c>
      <c r="D38" s="36" t="s">
        <v>75</v>
      </c>
      <c r="E38" s="67" t="s">
        <v>8</v>
      </c>
      <c r="F38" s="67" t="s">
        <v>8</v>
      </c>
      <c r="G38" s="67" t="s">
        <v>8</v>
      </c>
      <c r="H38" s="73" t="s">
        <v>8</v>
      </c>
      <c r="I38" s="67" t="s">
        <v>9</v>
      </c>
      <c r="J38" s="67" t="s">
        <v>9</v>
      </c>
      <c r="K38" s="67" t="s">
        <v>8</v>
      </c>
      <c r="L38" s="94" t="s">
        <v>9</v>
      </c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5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64">
        <f t="shared" si="3"/>
        <v>5</v>
      </c>
      <c r="AL38" s="18">
        <f t="shared" si="3"/>
        <v>3</v>
      </c>
      <c r="AM38" s="19">
        <f t="shared" si="1"/>
        <v>62.5</v>
      </c>
    </row>
    <row r="39" spans="1:39" ht="15.75" customHeight="1">
      <c r="A39" s="6">
        <v>34</v>
      </c>
      <c r="B39" s="91"/>
      <c r="C39" s="35" t="s">
        <v>133</v>
      </c>
      <c r="D39" s="36" t="s">
        <v>76</v>
      </c>
      <c r="E39" s="67" t="s">
        <v>8</v>
      </c>
      <c r="F39" s="67" t="s">
        <v>8</v>
      </c>
      <c r="G39" s="67" t="s">
        <v>9</v>
      </c>
      <c r="H39" s="73" t="s">
        <v>9</v>
      </c>
      <c r="I39" s="67" t="s">
        <v>9</v>
      </c>
      <c r="J39" s="67" t="s">
        <v>9</v>
      </c>
      <c r="K39" s="67" t="s">
        <v>8</v>
      </c>
      <c r="L39" s="94" t="s">
        <v>9</v>
      </c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5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64">
        <f t="shared" si="3"/>
        <v>3</v>
      </c>
      <c r="AL39" s="18">
        <f t="shared" si="3"/>
        <v>5</v>
      </c>
      <c r="AM39" s="19">
        <f t="shared" si="1"/>
        <v>37.5</v>
      </c>
    </row>
    <row r="40" spans="1:39" ht="15.75" customHeight="1">
      <c r="A40" s="6">
        <v>35</v>
      </c>
      <c r="B40" s="91"/>
      <c r="C40" s="7" t="s">
        <v>77</v>
      </c>
      <c r="D40" s="37" t="s">
        <v>78</v>
      </c>
      <c r="E40" s="67" t="s">
        <v>8</v>
      </c>
      <c r="F40" s="67" t="s">
        <v>8</v>
      </c>
      <c r="G40" s="67" t="s">
        <v>8</v>
      </c>
      <c r="H40" s="73" t="s">
        <v>8</v>
      </c>
      <c r="I40" s="67" t="s">
        <v>9</v>
      </c>
      <c r="J40" s="67" t="s">
        <v>8</v>
      </c>
      <c r="K40" s="67" t="s">
        <v>8</v>
      </c>
      <c r="L40" s="94" t="s">
        <v>9</v>
      </c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5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64">
        <f t="shared" si="3"/>
        <v>6</v>
      </c>
      <c r="AL40" s="18">
        <f t="shared" si="3"/>
        <v>2</v>
      </c>
      <c r="AM40" s="19">
        <f t="shared" si="1"/>
        <v>75</v>
      </c>
    </row>
    <row r="41" spans="1:39" ht="15.75" customHeight="1">
      <c r="A41" s="6">
        <v>36</v>
      </c>
      <c r="B41" s="91"/>
      <c r="C41" s="33" t="s">
        <v>79</v>
      </c>
      <c r="D41" s="36" t="s">
        <v>80</v>
      </c>
      <c r="E41" s="67" t="s">
        <v>9</v>
      </c>
      <c r="F41" s="67" t="s">
        <v>9</v>
      </c>
      <c r="G41" s="67" t="s">
        <v>9</v>
      </c>
      <c r="H41" s="73" t="s">
        <v>9</v>
      </c>
      <c r="I41" s="67" t="s">
        <v>9</v>
      </c>
      <c r="J41" s="67" t="s">
        <v>9</v>
      </c>
      <c r="K41" s="67" t="s">
        <v>8</v>
      </c>
      <c r="L41" s="94" t="s">
        <v>9</v>
      </c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5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64">
        <f t="shared" si="3"/>
        <v>1</v>
      </c>
      <c r="AL41" s="18">
        <f t="shared" si="3"/>
        <v>7</v>
      </c>
      <c r="AM41" s="19">
        <f t="shared" si="1"/>
        <v>12.5</v>
      </c>
    </row>
    <row r="42" spans="1:39" ht="15.75" customHeight="1">
      <c r="A42" s="6">
        <v>37</v>
      </c>
      <c r="B42" s="91"/>
      <c r="C42" s="33" t="s">
        <v>81</v>
      </c>
      <c r="D42" s="36" t="s">
        <v>82</v>
      </c>
      <c r="E42" s="67" t="s">
        <v>9</v>
      </c>
      <c r="F42" s="67" t="s">
        <v>9</v>
      </c>
      <c r="G42" s="67" t="s">
        <v>9</v>
      </c>
      <c r="H42" s="73" t="s">
        <v>8</v>
      </c>
      <c r="I42" s="67" t="s">
        <v>9</v>
      </c>
      <c r="J42" s="67" t="s">
        <v>8</v>
      </c>
      <c r="K42" s="67" t="s">
        <v>9</v>
      </c>
      <c r="L42" s="94" t="s">
        <v>9</v>
      </c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5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64">
        <f t="shared" si="3"/>
        <v>2</v>
      </c>
      <c r="AL42" s="18">
        <f t="shared" si="3"/>
        <v>6</v>
      </c>
      <c r="AM42" s="19">
        <f t="shared" si="1"/>
        <v>25</v>
      </c>
    </row>
    <row r="43" spans="1:39" ht="15" customHeight="1">
      <c r="A43" s="6">
        <v>38</v>
      </c>
      <c r="B43" s="91"/>
      <c r="C43" s="34" t="s">
        <v>83</v>
      </c>
      <c r="D43" s="34" t="s">
        <v>84</v>
      </c>
      <c r="E43" s="67" t="s">
        <v>8</v>
      </c>
      <c r="F43" s="67" t="s">
        <v>8</v>
      </c>
      <c r="G43" s="67" t="s">
        <v>8</v>
      </c>
      <c r="H43" s="73" t="s">
        <v>9</v>
      </c>
      <c r="I43" s="67" t="s">
        <v>9</v>
      </c>
      <c r="J43" s="67" t="s">
        <v>8</v>
      </c>
      <c r="K43" s="67" t="s">
        <v>8</v>
      </c>
      <c r="L43" s="94" t="s">
        <v>9</v>
      </c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5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64">
        <f t="shared" si="3"/>
        <v>5</v>
      </c>
      <c r="AL43" s="18">
        <f t="shared" si="3"/>
        <v>3</v>
      </c>
      <c r="AM43" s="19">
        <f t="shared" si="1"/>
        <v>62.5</v>
      </c>
    </row>
    <row r="44" spans="1:39" ht="15.75" customHeight="1">
      <c r="A44" s="6">
        <v>40</v>
      </c>
      <c r="B44" s="91" t="s">
        <v>96</v>
      </c>
      <c r="C44" s="38" t="s">
        <v>85</v>
      </c>
      <c r="D44" s="38" t="s">
        <v>86</v>
      </c>
      <c r="E44" s="67" t="s">
        <v>8</v>
      </c>
      <c r="F44" s="67" t="s">
        <v>9</v>
      </c>
      <c r="G44" s="67" t="s">
        <v>8</v>
      </c>
      <c r="H44" s="73" t="s">
        <v>8</v>
      </c>
      <c r="I44" s="67" t="s">
        <v>8</v>
      </c>
      <c r="J44" s="67" t="s">
        <v>9</v>
      </c>
      <c r="K44" s="67" t="s">
        <v>8</v>
      </c>
      <c r="L44" s="94" t="s">
        <v>8</v>
      </c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5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64">
        <f t="shared" si="3"/>
        <v>6</v>
      </c>
      <c r="AL44" s="18">
        <f t="shared" si="3"/>
        <v>2</v>
      </c>
      <c r="AM44" s="19">
        <f t="shared" si="1"/>
        <v>75</v>
      </c>
    </row>
    <row r="45" spans="1:39" ht="15.75" customHeight="1">
      <c r="A45" s="6">
        <v>41</v>
      </c>
      <c r="B45" s="91"/>
      <c r="C45" s="38" t="s">
        <v>87</v>
      </c>
      <c r="D45" s="38" t="s">
        <v>88</v>
      </c>
      <c r="E45" s="67" t="s">
        <v>9</v>
      </c>
      <c r="F45" s="67" t="s">
        <v>9</v>
      </c>
      <c r="G45" s="67" t="s">
        <v>9</v>
      </c>
      <c r="H45" s="73" t="s">
        <v>9</v>
      </c>
      <c r="I45" s="67" t="s">
        <v>9</v>
      </c>
      <c r="J45" s="67" t="s">
        <v>9</v>
      </c>
      <c r="K45" s="67" t="s">
        <v>8</v>
      </c>
      <c r="L45" s="94" t="s">
        <v>9</v>
      </c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5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64">
        <f t="shared" si="3"/>
        <v>1</v>
      </c>
      <c r="AL45" s="18">
        <f t="shared" si="3"/>
        <v>7</v>
      </c>
      <c r="AM45" s="19">
        <f t="shared" si="1"/>
        <v>12.5</v>
      </c>
    </row>
    <row r="46" spans="1:39" ht="15.75" customHeight="1">
      <c r="A46" s="6">
        <v>42</v>
      </c>
      <c r="B46" s="91"/>
      <c r="C46" s="38" t="s">
        <v>89</v>
      </c>
      <c r="D46" s="38" t="s">
        <v>90</v>
      </c>
      <c r="E46" s="67" t="s">
        <v>9</v>
      </c>
      <c r="F46" s="67" t="s">
        <v>9</v>
      </c>
      <c r="G46" s="67" t="s">
        <v>9</v>
      </c>
      <c r="H46" s="73" t="s">
        <v>9</v>
      </c>
      <c r="I46" s="67" t="s">
        <v>9</v>
      </c>
      <c r="J46" s="67" t="s">
        <v>9</v>
      </c>
      <c r="K46" s="67" t="s">
        <v>8</v>
      </c>
      <c r="L46" s="94" t="s">
        <v>8</v>
      </c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5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64">
        <f t="shared" si="3"/>
        <v>2</v>
      </c>
      <c r="AL46" s="18">
        <f t="shared" si="3"/>
        <v>6</v>
      </c>
      <c r="AM46" s="19">
        <f t="shared" si="1"/>
        <v>25</v>
      </c>
    </row>
    <row r="47" spans="1:39" ht="15.75" customHeight="1">
      <c r="A47" s="6">
        <v>43</v>
      </c>
      <c r="B47" s="91"/>
      <c r="C47" s="38" t="s">
        <v>91</v>
      </c>
      <c r="D47" s="38" t="s">
        <v>92</v>
      </c>
      <c r="E47" s="67" t="s">
        <v>9</v>
      </c>
      <c r="F47" s="67" t="s">
        <v>9</v>
      </c>
      <c r="G47" s="67" t="s">
        <v>9</v>
      </c>
      <c r="H47" s="73" t="s">
        <v>9</v>
      </c>
      <c r="I47" s="67" t="s">
        <v>9</v>
      </c>
      <c r="J47" s="67" t="s">
        <v>9</v>
      </c>
      <c r="K47" s="67" t="s">
        <v>9</v>
      </c>
      <c r="L47" s="94" t="s">
        <v>9</v>
      </c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5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64">
        <f t="shared" si="3"/>
        <v>0</v>
      </c>
      <c r="AL47" s="18">
        <f t="shared" si="3"/>
        <v>8</v>
      </c>
      <c r="AM47" s="19">
        <f t="shared" si="1"/>
        <v>0</v>
      </c>
    </row>
    <row r="48" spans="1:39" ht="15.75" customHeight="1">
      <c r="A48" s="6">
        <v>44</v>
      </c>
      <c r="B48" s="91"/>
      <c r="C48" s="38" t="s">
        <v>91</v>
      </c>
      <c r="D48" s="38" t="s">
        <v>93</v>
      </c>
      <c r="E48" s="67" t="s">
        <v>9</v>
      </c>
      <c r="F48" s="67" t="s">
        <v>9</v>
      </c>
      <c r="G48" s="67" t="s">
        <v>9</v>
      </c>
      <c r="H48" s="73" t="s">
        <v>9</v>
      </c>
      <c r="I48" s="67" t="s">
        <v>9</v>
      </c>
      <c r="J48" s="67" t="s">
        <v>9</v>
      </c>
      <c r="K48" s="67" t="s">
        <v>9</v>
      </c>
      <c r="L48" s="94" t="s">
        <v>9</v>
      </c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5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64">
        <f t="shared" si="3"/>
        <v>0</v>
      </c>
      <c r="AL48" s="18">
        <f t="shared" si="3"/>
        <v>8</v>
      </c>
      <c r="AM48" s="19">
        <f t="shared" si="1"/>
        <v>0</v>
      </c>
    </row>
    <row r="49" spans="1:39" ht="15.75" customHeight="1">
      <c r="A49" s="6">
        <v>45</v>
      </c>
      <c r="B49" s="91"/>
      <c r="C49" s="39" t="s">
        <v>94</v>
      </c>
      <c r="D49" s="39" t="s">
        <v>95</v>
      </c>
      <c r="E49" s="68" t="s">
        <v>9</v>
      </c>
      <c r="F49" s="68" t="s">
        <v>9</v>
      </c>
      <c r="G49" s="68" t="s">
        <v>9</v>
      </c>
      <c r="H49" s="73" t="s">
        <v>9</v>
      </c>
      <c r="I49" s="68" t="s">
        <v>9</v>
      </c>
      <c r="J49" s="68" t="s">
        <v>9</v>
      </c>
      <c r="K49" s="68" t="s">
        <v>8</v>
      </c>
      <c r="L49" s="95" t="s">
        <v>9</v>
      </c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5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64">
        <f t="shared" si="3"/>
        <v>1</v>
      </c>
      <c r="AL49" s="18">
        <f t="shared" si="3"/>
        <v>7</v>
      </c>
      <c r="AM49" s="19">
        <f t="shared" si="1"/>
        <v>12.5</v>
      </c>
    </row>
    <row r="50" spans="1:39" ht="15.75" customHeight="1">
      <c r="A50" s="6">
        <v>1</v>
      </c>
      <c r="B50" s="85" t="s">
        <v>101</v>
      </c>
      <c r="C50" s="45" t="s">
        <v>102</v>
      </c>
      <c r="D50" s="50" t="s">
        <v>103</v>
      </c>
      <c r="E50" s="69" t="s">
        <v>8</v>
      </c>
      <c r="F50" s="69" t="s">
        <v>8</v>
      </c>
      <c r="G50" s="69" t="s">
        <v>9</v>
      </c>
      <c r="H50" s="74" t="s">
        <v>9</v>
      </c>
      <c r="I50" s="69" t="s">
        <v>9</v>
      </c>
      <c r="J50" s="69" t="s">
        <v>9</v>
      </c>
      <c r="K50" s="69" t="s">
        <v>9</v>
      </c>
      <c r="L50" s="69" t="s">
        <v>9</v>
      </c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5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64">
        <f t="shared" si="3"/>
        <v>2</v>
      </c>
      <c r="AL50" s="18">
        <f t="shared" si="3"/>
        <v>6</v>
      </c>
      <c r="AM50" s="19">
        <f t="shared" si="1"/>
        <v>25</v>
      </c>
    </row>
    <row r="51" spans="1:39" ht="15.75" customHeight="1">
      <c r="A51" s="1">
        <v>2</v>
      </c>
      <c r="B51" s="87"/>
      <c r="C51" s="51" t="s">
        <v>104</v>
      </c>
      <c r="D51" s="52" t="s">
        <v>105</v>
      </c>
      <c r="E51" s="69" t="s">
        <v>8</v>
      </c>
      <c r="F51" s="69" t="s">
        <v>8</v>
      </c>
      <c r="G51" s="69" t="s">
        <v>9</v>
      </c>
      <c r="H51" s="74" t="s">
        <v>8</v>
      </c>
      <c r="I51" s="69" t="s">
        <v>9</v>
      </c>
      <c r="J51" s="69" t="s">
        <v>8</v>
      </c>
      <c r="K51" s="69" t="s">
        <v>8</v>
      </c>
      <c r="L51" s="69" t="s">
        <v>8</v>
      </c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5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64">
        <f t="shared" si="3"/>
        <v>6</v>
      </c>
      <c r="AL51" s="18">
        <f t="shared" si="3"/>
        <v>2</v>
      </c>
      <c r="AM51" s="19">
        <f t="shared" si="1"/>
        <v>75</v>
      </c>
    </row>
    <row r="52" spans="1:39" ht="15.75" customHeight="1">
      <c r="A52" s="6">
        <v>3</v>
      </c>
      <c r="B52" s="87"/>
      <c r="C52" s="53" t="s">
        <v>106</v>
      </c>
      <c r="D52" s="54" t="s">
        <v>107</v>
      </c>
      <c r="E52" s="69" t="s">
        <v>9</v>
      </c>
      <c r="F52" s="69" t="s">
        <v>9</v>
      </c>
      <c r="G52" s="69" t="s">
        <v>9</v>
      </c>
      <c r="H52" s="74" t="s">
        <v>9</v>
      </c>
      <c r="I52" s="69" t="s">
        <v>9</v>
      </c>
      <c r="J52" s="69" t="s">
        <v>9</v>
      </c>
      <c r="K52" s="69" t="s">
        <v>9</v>
      </c>
      <c r="L52" s="69" t="s">
        <v>9</v>
      </c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5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64">
        <f t="shared" si="3"/>
        <v>0</v>
      </c>
      <c r="AL52" s="18">
        <f t="shared" si="3"/>
        <v>8</v>
      </c>
      <c r="AM52" s="19">
        <f t="shared" si="1"/>
        <v>0</v>
      </c>
    </row>
    <row r="53" spans="1:39" ht="15.75" customHeight="1">
      <c r="A53" s="1">
        <v>4</v>
      </c>
      <c r="B53" s="87"/>
      <c r="C53" s="51" t="s">
        <v>108</v>
      </c>
      <c r="D53" s="54" t="s">
        <v>109</v>
      </c>
      <c r="E53" s="69" t="s">
        <v>8</v>
      </c>
      <c r="F53" s="69" t="s">
        <v>8</v>
      </c>
      <c r="G53" s="69" t="s">
        <v>9</v>
      </c>
      <c r="H53" s="74" t="s">
        <v>9</v>
      </c>
      <c r="I53" s="69" t="s">
        <v>9</v>
      </c>
      <c r="J53" s="69" t="s">
        <v>9</v>
      </c>
      <c r="K53" s="69" t="s">
        <v>8</v>
      </c>
      <c r="L53" s="69" t="s">
        <v>9</v>
      </c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5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64">
        <f t="shared" si="3"/>
        <v>3</v>
      </c>
      <c r="AL53" s="18">
        <f t="shared" si="3"/>
        <v>5</v>
      </c>
      <c r="AM53" s="19">
        <f t="shared" si="1"/>
        <v>37.5</v>
      </c>
    </row>
    <row r="54" spans="1:39" ht="15.75" customHeight="1">
      <c r="A54" s="6">
        <v>5</v>
      </c>
      <c r="B54" s="87"/>
      <c r="C54" s="53" t="s">
        <v>110</v>
      </c>
      <c r="D54" s="55" t="s">
        <v>111</v>
      </c>
      <c r="E54" s="69" t="s">
        <v>9</v>
      </c>
      <c r="F54" s="69" t="s">
        <v>9</v>
      </c>
      <c r="G54" s="69" t="s">
        <v>8</v>
      </c>
      <c r="H54" s="74" t="s">
        <v>9</v>
      </c>
      <c r="I54" s="69" t="s">
        <v>9</v>
      </c>
      <c r="J54" s="69" t="s">
        <v>9</v>
      </c>
      <c r="K54" s="69" t="s">
        <v>8</v>
      </c>
      <c r="L54" s="69" t="s">
        <v>8</v>
      </c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5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64">
        <f t="shared" si="3"/>
        <v>3</v>
      </c>
      <c r="AL54" s="18">
        <f t="shared" si="3"/>
        <v>5</v>
      </c>
      <c r="AM54" s="19">
        <f t="shared" si="1"/>
        <v>37.5</v>
      </c>
    </row>
    <row r="55" spans="1:39" ht="15.75" customHeight="1">
      <c r="A55" s="1">
        <v>6</v>
      </c>
      <c r="B55" s="87"/>
      <c r="C55" s="53" t="s">
        <v>112</v>
      </c>
      <c r="D55" s="55" t="s">
        <v>113</v>
      </c>
      <c r="E55" s="69" t="s">
        <v>8</v>
      </c>
      <c r="F55" s="69" t="s">
        <v>8</v>
      </c>
      <c r="G55" s="69" t="s">
        <v>8</v>
      </c>
      <c r="H55" s="74" t="s">
        <v>8</v>
      </c>
      <c r="I55" s="69" t="s">
        <v>8</v>
      </c>
      <c r="J55" s="69" t="s">
        <v>9</v>
      </c>
      <c r="K55" s="69" t="s">
        <v>8</v>
      </c>
      <c r="L55" s="69" t="s">
        <v>8</v>
      </c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5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64">
        <f t="shared" si="3"/>
        <v>7</v>
      </c>
      <c r="AL55" s="18">
        <f t="shared" si="3"/>
        <v>1</v>
      </c>
      <c r="AM55" s="19">
        <f t="shared" si="1"/>
        <v>87.5</v>
      </c>
    </row>
    <row r="56" spans="1:39" ht="15.75" customHeight="1">
      <c r="A56" s="6">
        <v>7</v>
      </c>
      <c r="B56" s="87"/>
      <c r="C56" s="53" t="s">
        <v>114</v>
      </c>
      <c r="D56" s="55" t="s">
        <v>115</v>
      </c>
      <c r="E56" s="69" t="s">
        <v>8</v>
      </c>
      <c r="F56" s="69" t="s">
        <v>8</v>
      </c>
      <c r="G56" s="74" t="s">
        <v>8</v>
      </c>
      <c r="H56" s="69" t="s">
        <v>8</v>
      </c>
      <c r="I56" s="69" t="s">
        <v>8</v>
      </c>
      <c r="J56" s="69" t="s">
        <v>8</v>
      </c>
      <c r="K56" s="69" t="s">
        <v>8</v>
      </c>
      <c r="L56" s="69" t="s">
        <v>8</v>
      </c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5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64">
        <f t="shared" si="3"/>
        <v>8</v>
      </c>
      <c r="AL56" s="18">
        <f t="shared" si="3"/>
        <v>0</v>
      </c>
      <c r="AM56" s="19">
        <f t="shared" si="1"/>
        <v>100</v>
      </c>
    </row>
    <row r="57" spans="1:39" ht="15.75" customHeight="1">
      <c r="A57" s="1">
        <v>8</v>
      </c>
      <c r="B57" s="88"/>
      <c r="C57" s="48" t="s">
        <v>116</v>
      </c>
      <c r="D57" s="49" t="s">
        <v>117</v>
      </c>
      <c r="E57" s="75" t="s">
        <v>8</v>
      </c>
      <c r="F57" s="75" t="s">
        <v>8</v>
      </c>
      <c r="G57" s="76" t="s">
        <v>8</v>
      </c>
      <c r="H57" s="69" t="s">
        <v>8</v>
      </c>
      <c r="I57" s="69" t="s">
        <v>8</v>
      </c>
      <c r="J57" s="69" t="s">
        <v>8</v>
      </c>
      <c r="K57" s="69" t="s">
        <v>8</v>
      </c>
      <c r="L57" s="69" t="s">
        <v>8</v>
      </c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5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64">
        <f t="shared" si="3"/>
        <v>8</v>
      </c>
      <c r="AL57" s="18">
        <f t="shared" si="3"/>
        <v>0</v>
      </c>
      <c r="AM57" s="19">
        <f t="shared" si="1"/>
        <v>100</v>
      </c>
    </row>
    <row r="58" spans="1:39" ht="15.75" customHeight="1" thickBot="1">
      <c r="A58" s="6">
        <v>9</v>
      </c>
      <c r="B58" s="42"/>
      <c r="C58" s="45" t="s">
        <v>118</v>
      </c>
      <c r="D58" s="47" t="s">
        <v>119</v>
      </c>
      <c r="E58" s="69" t="s">
        <v>8</v>
      </c>
      <c r="F58" s="69" t="s">
        <v>8</v>
      </c>
      <c r="G58" s="74" t="s">
        <v>9</v>
      </c>
      <c r="H58" s="69" t="s">
        <v>9</v>
      </c>
      <c r="I58" s="69" t="s">
        <v>9</v>
      </c>
      <c r="J58" s="69" t="s">
        <v>9</v>
      </c>
      <c r="K58" s="69" t="s">
        <v>8</v>
      </c>
      <c r="L58" s="69" t="s">
        <v>8</v>
      </c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5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64">
        <f t="shared" si="3"/>
        <v>4</v>
      </c>
      <c r="AL58" s="18">
        <f t="shared" si="3"/>
        <v>4</v>
      </c>
      <c r="AM58" s="19">
        <f t="shared" si="1"/>
        <v>50</v>
      </c>
    </row>
    <row r="59" spans="1:39" ht="15.75" customHeight="1">
      <c r="A59" s="1">
        <v>10</v>
      </c>
      <c r="B59" s="79" t="s">
        <v>125</v>
      </c>
      <c r="C59" s="46" t="s">
        <v>132</v>
      </c>
      <c r="D59" s="46" t="s">
        <v>120</v>
      </c>
      <c r="E59" s="69" t="s">
        <v>8</v>
      </c>
      <c r="F59" s="69" t="s">
        <v>8</v>
      </c>
      <c r="G59" s="74" t="s">
        <v>8</v>
      </c>
      <c r="H59" s="69" t="s">
        <v>8</v>
      </c>
      <c r="I59" s="69" t="s">
        <v>9</v>
      </c>
      <c r="J59" s="69" t="s">
        <v>8</v>
      </c>
      <c r="K59" s="69" t="s">
        <v>8</v>
      </c>
      <c r="L59" s="69" t="s">
        <v>8</v>
      </c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5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64">
        <f t="shared" si="3"/>
        <v>7</v>
      </c>
      <c r="AL59" s="18">
        <f t="shared" si="3"/>
        <v>1</v>
      </c>
      <c r="AM59" s="19">
        <f t="shared" si="1"/>
        <v>87.5</v>
      </c>
    </row>
    <row r="60" spans="1:39" ht="15.75" customHeight="1">
      <c r="A60" s="6">
        <v>11</v>
      </c>
      <c r="B60" s="80"/>
      <c r="C60" s="46" t="s">
        <v>131</v>
      </c>
      <c r="D60" s="46" t="s">
        <v>121</v>
      </c>
      <c r="E60" s="69" t="s">
        <v>9</v>
      </c>
      <c r="F60" s="69" t="s">
        <v>8</v>
      </c>
      <c r="G60" s="74" t="s">
        <v>8</v>
      </c>
      <c r="H60" s="69" t="s">
        <v>8</v>
      </c>
      <c r="I60" s="69" t="s">
        <v>9</v>
      </c>
      <c r="J60" s="69" t="s">
        <v>8</v>
      </c>
      <c r="K60" s="69" t="s">
        <v>8</v>
      </c>
      <c r="L60" s="69" t="s">
        <v>8</v>
      </c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5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64">
        <f t="shared" si="3"/>
        <v>6</v>
      </c>
      <c r="AL60" s="18">
        <f t="shared" si="3"/>
        <v>2</v>
      </c>
      <c r="AM60" s="19">
        <f t="shared" si="1"/>
        <v>75</v>
      </c>
    </row>
    <row r="61" spans="1:39" ht="15.75" customHeight="1">
      <c r="A61" s="1">
        <v>12</v>
      </c>
      <c r="B61" s="80"/>
      <c r="C61" s="46" t="s">
        <v>127</v>
      </c>
      <c r="D61" s="46" t="s">
        <v>122</v>
      </c>
      <c r="E61" s="69" t="s">
        <v>8</v>
      </c>
      <c r="F61" s="69" t="s">
        <v>8</v>
      </c>
      <c r="G61" s="74" t="s">
        <v>8</v>
      </c>
      <c r="H61" s="69" t="s">
        <v>8</v>
      </c>
      <c r="I61" s="69" t="s">
        <v>8</v>
      </c>
      <c r="J61" s="69" t="s">
        <v>8</v>
      </c>
      <c r="K61" s="69" t="s">
        <v>9</v>
      </c>
      <c r="L61" s="69" t="s">
        <v>9</v>
      </c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5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64">
        <f t="shared" si="3"/>
        <v>6</v>
      </c>
      <c r="AL61" s="18">
        <f t="shared" si="3"/>
        <v>2</v>
      </c>
      <c r="AM61" s="19">
        <f t="shared" si="1"/>
        <v>75</v>
      </c>
    </row>
    <row r="62" spans="1:39" ht="15.75" customHeight="1">
      <c r="A62" s="6">
        <v>13</v>
      </c>
      <c r="B62" s="80"/>
      <c r="C62" s="46" t="s">
        <v>135</v>
      </c>
      <c r="D62" s="46" t="s">
        <v>134</v>
      </c>
      <c r="E62" s="69" t="s">
        <v>8</v>
      </c>
      <c r="F62" s="69" t="s">
        <v>8</v>
      </c>
      <c r="G62" s="74" t="s">
        <v>8</v>
      </c>
      <c r="H62" s="69" t="s">
        <v>8</v>
      </c>
      <c r="I62" s="69" t="s">
        <v>9</v>
      </c>
      <c r="J62" s="69" t="s">
        <v>8</v>
      </c>
      <c r="K62" s="69" t="s">
        <v>9</v>
      </c>
      <c r="L62" s="69" t="s">
        <v>9</v>
      </c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5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64">
        <f t="shared" si="3"/>
        <v>5</v>
      </c>
      <c r="AL62" s="18">
        <f t="shared" si="3"/>
        <v>3</v>
      </c>
      <c r="AM62" s="19">
        <f t="shared" si="1"/>
        <v>62.5</v>
      </c>
    </row>
    <row r="63" spans="1:39" ht="15.75" customHeight="1">
      <c r="A63" s="1">
        <v>14</v>
      </c>
      <c r="B63" s="80"/>
      <c r="C63" s="46" t="s">
        <v>128</v>
      </c>
      <c r="D63" s="46" t="s">
        <v>123</v>
      </c>
      <c r="E63" s="69" t="s">
        <v>8</v>
      </c>
      <c r="F63" s="69" t="s">
        <v>8</v>
      </c>
      <c r="G63" s="74" t="s">
        <v>8</v>
      </c>
      <c r="H63" s="69" t="s">
        <v>8</v>
      </c>
      <c r="I63" s="69" t="s">
        <v>9</v>
      </c>
      <c r="J63" s="69" t="s">
        <v>8</v>
      </c>
      <c r="K63" s="69" t="s">
        <v>8</v>
      </c>
      <c r="L63" s="69" t="s">
        <v>9</v>
      </c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5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64">
        <f t="shared" si="3"/>
        <v>6</v>
      </c>
      <c r="AL63" s="18">
        <f t="shared" si="3"/>
        <v>2</v>
      </c>
      <c r="AM63" s="19">
        <f t="shared" si="1"/>
        <v>75</v>
      </c>
    </row>
    <row r="64" spans="1:39" ht="15.75" customHeight="1">
      <c r="A64" s="6">
        <v>15</v>
      </c>
      <c r="B64" s="80"/>
      <c r="C64" s="46" t="s">
        <v>126</v>
      </c>
      <c r="D64" s="46" t="s">
        <v>124</v>
      </c>
      <c r="E64" s="69" t="s">
        <v>8</v>
      </c>
      <c r="F64" s="69" t="s">
        <v>8</v>
      </c>
      <c r="G64" s="74" t="s">
        <v>8</v>
      </c>
      <c r="H64" s="69" t="s">
        <v>8</v>
      </c>
      <c r="I64" s="69" t="s">
        <v>9</v>
      </c>
      <c r="J64" s="69" t="s">
        <v>8</v>
      </c>
      <c r="K64" s="69" t="s">
        <v>8</v>
      </c>
      <c r="L64" s="69" t="s">
        <v>8</v>
      </c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5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64">
        <f t="shared" si="3"/>
        <v>7</v>
      </c>
      <c r="AL64" s="18">
        <f t="shared" si="3"/>
        <v>1</v>
      </c>
      <c r="AM64" s="19">
        <f t="shared" si="1"/>
        <v>87.5</v>
      </c>
    </row>
    <row r="65" spans="1:39" ht="15.75" customHeight="1">
      <c r="A65" s="1">
        <v>16</v>
      </c>
      <c r="B65" s="80"/>
      <c r="C65" s="43" t="s">
        <v>129</v>
      </c>
      <c r="D65" s="46" t="s">
        <v>130</v>
      </c>
      <c r="E65" s="69" t="s">
        <v>8</v>
      </c>
      <c r="F65" s="69" t="s">
        <v>8</v>
      </c>
      <c r="G65" s="74" t="s">
        <v>9</v>
      </c>
      <c r="H65" s="69" t="s">
        <v>8</v>
      </c>
      <c r="I65" s="69" t="s">
        <v>8</v>
      </c>
      <c r="J65" s="69" t="s">
        <v>9</v>
      </c>
      <c r="K65" s="69" t="s">
        <v>8</v>
      </c>
      <c r="L65" s="69" t="s">
        <v>9</v>
      </c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5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64">
        <f t="shared" si="3"/>
        <v>5</v>
      </c>
      <c r="AL65" s="18">
        <f t="shared" si="3"/>
        <v>3</v>
      </c>
      <c r="AM65" s="19">
        <f t="shared" si="1"/>
        <v>62.5</v>
      </c>
    </row>
    <row r="66" spans="1:39" ht="15.75" customHeight="1" thickBot="1">
      <c r="A66" s="6">
        <v>17</v>
      </c>
      <c r="B66" s="81"/>
      <c r="C66" s="46" t="s">
        <v>136</v>
      </c>
      <c r="D66" s="46" t="s">
        <v>137</v>
      </c>
      <c r="E66" s="69" t="s">
        <v>9</v>
      </c>
      <c r="F66" s="69" t="s">
        <v>8</v>
      </c>
      <c r="G66" s="74" t="s">
        <v>9</v>
      </c>
      <c r="H66" s="69" t="s">
        <v>8</v>
      </c>
      <c r="I66" s="69" t="s">
        <v>9</v>
      </c>
      <c r="J66" s="69" t="s">
        <v>9</v>
      </c>
      <c r="K66" s="69" t="s">
        <v>8</v>
      </c>
      <c r="L66" s="69" t="s">
        <v>9</v>
      </c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5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64">
        <f t="shared" si="3"/>
        <v>3</v>
      </c>
      <c r="AL66" s="18">
        <f t="shared" si="3"/>
        <v>5</v>
      </c>
      <c r="AM66" s="19">
        <f t="shared" si="1"/>
        <v>37.5</v>
      </c>
    </row>
    <row r="67" spans="1:39" ht="15.75" customHeight="1">
      <c r="A67" s="1">
        <v>18</v>
      </c>
      <c r="B67" s="44"/>
      <c r="C67" s="46" t="s">
        <v>138</v>
      </c>
      <c r="D67" s="46" t="s">
        <v>139</v>
      </c>
      <c r="E67" s="69" t="s">
        <v>9</v>
      </c>
      <c r="F67" s="69" t="s">
        <v>8</v>
      </c>
      <c r="G67" s="74" t="s">
        <v>8</v>
      </c>
      <c r="H67" s="69" t="s">
        <v>9</v>
      </c>
      <c r="I67" s="69" t="s">
        <v>9</v>
      </c>
      <c r="J67" s="69" t="s">
        <v>9</v>
      </c>
      <c r="K67" s="69" t="s">
        <v>9</v>
      </c>
      <c r="L67" s="69" t="s">
        <v>9</v>
      </c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5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64">
        <f t="shared" si="3"/>
        <v>2</v>
      </c>
      <c r="AL67" s="18">
        <f t="shared" si="3"/>
        <v>6</v>
      </c>
      <c r="AM67" s="19">
        <f t="shared" si="1"/>
        <v>25</v>
      </c>
    </row>
    <row r="68" spans="1:39" ht="15.75" customHeight="1">
      <c r="A68" s="6">
        <v>19</v>
      </c>
      <c r="B68" s="44"/>
      <c r="C68" s="46" t="s">
        <v>140</v>
      </c>
      <c r="D68" s="46" t="s">
        <v>141</v>
      </c>
      <c r="E68" s="69" t="s">
        <v>9</v>
      </c>
      <c r="F68" s="69" t="s">
        <v>8</v>
      </c>
      <c r="G68" s="74" t="s">
        <v>9</v>
      </c>
      <c r="H68" s="69" t="s">
        <v>9</v>
      </c>
      <c r="I68" s="69" t="s">
        <v>9</v>
      </c>
      <c r="J68" s="69" t="s">
        <v>9</v>
      </c>
      <c r="K68" s="69" t="s">
        <v>9</v>
      </c>
      <c r="L68" s="69" t="s">
        <v>9</v>
      </c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5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64">
        <f t="shared" si="3"/>
        <v>1</v>
      </c>
      <c r="AL68" s="18">
        <f t="shared" si="3"/>
        <v>7</v>
      </c>
      <c r="AM68" s="19">
        <f t="shared" si="1"/>
        <v>12.5</v>
      </c>
    </row>
    <row r="69" spans="1:39" ht="15.75" customHeight="1">
      <c r="A69" s="1">
        <v>20</v>
      </c>
      <c r="B69" s="44"/>
      <c r="C69" s="46" t="s">
        <v>142</v>
      </c>
      <c r="D69" s="46" t="s">
        <v>143</v>
      </c>
      <c r="E69" s="69" t="s">
        <v>9</v>
      </c>
      <c r="F69" s="69" t="s">
        <v>8</v>
      </c>
      <c r="G69" s="74" t="s">
        <v>9</v>
      </c>
      <c r="H69" s="69" t="s">
        <v>9</v>
      </c>
      <c r="I69" s="69" t="s">
        <v>9</v>
      </c>
      <c r="J69" s="69" t="s">
        <v>9</v>
      </c>
      <c r="K69" s="69" t="s">
        <v>9</v>
      </c>
      <c r="L69" s="69" t="s">
        <v>9</v>
      </c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5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64">
        <f t="shared" si="3"/>
        <v>1</v>
      </c>
      <c r="AL69" s="18">
        <f t="shared" si="3"/>
        <v>7</v>
      </c>
      <c r="AM69" s="19">
        <f t="shared" ref="AM69" si="4">(AK69/(AK69+AL69)*100)</f>
        <v>12.5</v>
      </c>
    </row>
    <row r="70" spans="1:39" ht="15.75" customHeight="1">
      <c r="B70" s="62" t="s">
        <v>9</v>
      </c>
      <c r="E70" s="58">
        <f t="shared" ref="E70:T70" si="5">COUNTIF(E$7:E$69,$B$70)</f>
        <v>39</v>
      </c>
      <c r="F70" s="58">
        <f t="shared" si="5"/>
        <v>29</v>
      </c>
      <c r="G70" s="58">
        <f t="shared" si="5"/>
        <v>43</v>
      </c>
      <c r="H70" s="58">
        <f t="shared" si="5"/>
        <v>46</v>
      </c>
      <c r="I70" s="58">
        <f t="shared" si="5"/>
        <v>52</v>
      </c>
      <c r="J70" s="70">
        <f t="shared" si="5"/>
        <v>46</v>
      </c>
      <c r="K70" s="58">
        <f t="shared" si="5"/>
        <v>34</v>
      </c>
      <c r="L70" s="70">
        <f t="shared" si="5"/>
        <v>47</v>
      </c>
      <c r="M70" s="58">
        <f t="shared" si="5"/>
        <v>0</v>
      </c>
      <c r="N70" s="58">
        <f t="shared" si="5"/>
        <v>0</v>
      </c>
      <c r="O70" s="58">
        <f t="shared" si="5"/>
        <v>0</v>
      </c>
      <c r="P70" s="58">
        <f t="shared" si="5"/>
        <v>0</v>
      </c>
      <c r="Q70" s="58">
        <f t="shared" si="5"/>
        <v>0</v>
      </c>
      <c r="R70" s="58">
        <f t="shared" si="5"/>
        <v>0</v>
      </c>
      <c r="S70" s="58">
        <f t="shared" si="5"/>
        <v>0</v>
      </c>
      <c r="T70" s="58">
        <f t="shared" si="5"/>
        <v>0</v>
      </c>
      <c r="U70" s="59"/>
      <c r="V70" s="59"/>
      <c r="W70" s="59"/>
      <c r="X70" s="59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</row>
    <row r="71" spans="1:39" ht="15.75" customHeight="1">
      <c r="B71" s="61" t="s">
        <v>8</v>
      </c>
      <c r="E71" s="60">
        <f t="shared" ref="E71:T71" si="6">COUNTIF(E$7:E$69,$B$71)</f>
        <v>24</v>
      </c>
      <c r="F71" s="60">
        <f t="shared" si="6"/>
        <v>34</v>
      </c>
      <c r="G71" s="60">
        <f t="shared" si="6"/>
        <v>20</v>
      </c>
      <c r="H71" s="60">
        <f t="shared" si="6"/>
        <v>17</v>
      </c>
      <c r="I71" s="60">
        <f t="shared" si="6"/>
        <v>11</v>
      </c>
      <c r="J71" s="71">
        <f t="shared" si="6"/>
        <v>17</v>
      </c>
      <c r="K71" s="60">
        <f t="shared" si="6"/>
        <v>29</v>
      </c>
      <c r="L71" s="71">
        <f t="shared" si="6"/>
        <v>16</v>
      </c>
      <c r="M71" s="60">
        <f t="shared" si="6"/>
        <v>0</v>
      </c>
      <c r="N71" s="60">
        <f t="shared" si="6"/>
        <v>0</v>
      </c>
      <c r="O71" s="60">
        <f t="shared" si="6"/>
        <v>0</v>
      </c>
      <c r="P71" s="60">
        <f t="shared" si="6"/>
        <v>0</v>
      </c>
      <c r="Q71" s="60">
        <f t="shared" si="6"/>
        <v>0</v>
      </c>
      <c r="R71" s="60">
        <f t="shared" si="6"/>
        <v>0</v>
      </c>
      <c r="S71" s="60">
        <f t="shared" si="6"/>
        <v>0</v>
      </c>
      <c r="T71" s="60">
        <f t="shared" si="6"/>
        <v>0</v>
      </c>
      <c r="U71" s="60"/>
      <c r="V71" s="60"/>
      <c r="W71" s="60"/>
      <c r="X71" s="60"/>
      <c r="Y71" s="60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</row>
  </sheetData>
  <mergeCells count="11">
    <mergeCell ref="D2:AM2"/>
    <mergeCell ref="D3:AM3"/>
    <mergeCell ref="B59:B66"/>
    <mergeCell ref="A4:A5"/>
    <mergeCell ref="B4:B5"/>
    <mergeCell ref="B6:B15"/>
    <mergeCell ref="C4:C5"/>
    <mergeCell ref="B50:B57"/>
    <mergeCell ref="B16:B32"/>
    <mergeCell ref="B33:B43"/>
    <mergeCell ref="B44:B49"/>
  </mergeCells>
  <phoneticPr fontId="26" type="noConversion"/>
  <dataValidations count="1">
    <dataValidation type="list" allowBlank="1" showDropDown="1" sqref="Q6 U6 S6:T15 W6:AJ15 E6:I15 L6:P15 J6:K32" xr:uid="{00000000-0002-0000-0000-000000000000}">
      <formula1>#REF!</formula1>
    </dataValidation>
  </dataValidations>
  <pageMargins left="0.25" right="0.25" top="0.75" bottom="0.75" header="0.3" footer="0.3"/>
  <pageSetup paperSize="9" scale="35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ATTENDANCE</vt:lpstr>
      <vt:lpstr>ATTENDANCE!Print_Area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Irum Yasmeen</dc:creator>
  <cp:lastModifiedBy>irum yasmeen</cp:lastModifiedBy>
  <cp:lastPrinted>2019-05-13T21:45:00Z</cp:lastPrinted>
  <dcterms:created xsi:type="dcterms:W3CDTF">2019-02-03T09:03:00Z</dcterms:created>
  <dcterms:modified xsi:type="dcterms:W3CDTF">2025-08-28T08:56:41Z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D6B0A32DFD514BC4955983821477D502_12</vt:lpwstr>
  </property>
  <property fmtid="{D5CDD505-2E9C-101B-9397-08002B2CF9AE}" pid="3" name="KSOProductBuildVer">
    <vt:lpwstr>1033-12.2.0.13431</vt:lpwstr>
  </property>
</Properties>
</file>